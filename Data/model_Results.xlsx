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ggiralaRudhvi\Projects\Credit-Risk\"/>
    </mc:Choice>
  </mc:AlternateContent>
  <xr:revisionPtr revIDLastSave="0" documentId="13_ncr:1_{14EAECD5-B073-4F57-9B0B-686D23C94134}" xr6:coauthVersionLast="47" xr6:coauthVersionMax="47" xr10:uidLastSave="{00000000-0000-0000-0000-000000000000}"/>
  <bookViews>
    <workbookView xWindow="-108" yWindow="-108" windowWidth="23256" windowHeight="12456" tabRatio="493" firstSheet="1" activeTab="2" xr2:uid="{00000000-000D-0000-FFFF-FFFF00000000}"/>
  </bookViews>
  <sheets>
    <sheet name="10 Tier Results (2)" sheetId="10" r:id="rId1"/>
    <sheet name="10 Tier Results" sheetId="1" r:id="rId2"/>
    <sheet name="Channelwise Results" sheetId="8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4" i="10" l="1"/>
  <c r="Q22" i="10"/>
  <c r="S22" i="10" l="1"/>
  <c r="R22" i="10"/>
  <c r="AA14" i="10"/>
  <c r="Y14" i="10"/>
  <c r="P14" i="10"/>
  <c r="N14" i="10"/>
  <c r="AC13" i="10"/>
  <c r="X31" i="10" s="1"/>
  <c r="AB13" i="10"/>
  <c r="R13" i="10"/>
  <c r="W31" i="10" s="1"/>
  <c r="Q13" i="10"/>
  <c r="G13" i="10"/>
  <c r="V31" i="10" s="1"/>
  <c r="F13" i="10"/>
  <c r="AC12" i="10"/>
  <c r="X30" i="10" s="1"/>
  <c r="AB12" i="10"/>
  <c r="R12" i="10"/>
  <c r="W30" i="10" s="1"/>
  <c r="Q12" i="10"/>
  <c r="G12" i="10"/>
  <c r="V30" i="10" s="1"/>
  <c r="F12" i="10"/>
  <c r="AC11" i="10"/>
  <c r="X29" i="10" s="1"/>
  <c r="AB11" i="10"/>
  <c r="R11" i="10"/>
  <c r="W29" i="10" s="1"/>
  <c r="Q11" i="10"/>
  <c r="G11" i="10"/>
  <c r="V29" i="10" s="1"/>
  <c r="F11" i="10"/>
  <c r="AC10" i="10"/>
  <c r="X28" i="10" s="1"/>
  <c r="AB10" i="10"/>
  <c r="R10" i="10"/>
  <c r="W28" i="10" s="1"/>
  <c r="Q10" i="10"/>
  <c r="G10" i="10"/>
  <c r="V28" i="10" s="1"/>
  <c r="F10" i="10"/>
  <c r="AC9" i="10"/>
  <c r="X27" i="10" s="1"/>
  <c r="AB9" i="10"/>
  <c r="R9" i="10"/>
  <c r="W27" i="10" s="1"/>
  <c r="Q9" i="10"/>
  <c r="G9" i="10"/>
  <c r="V27" i="10" s="1"/>
  <c r="F9" i="10"/>
  <c r="AC8" i="10"/>
  <c r="X26" i="10" s="1"/>
  <c r="AB8" i="10"/>
  <c r="R8" i="10"/>
  <c r="W26" i="10" s="1"/>
  <c r="Q8" i="10"/>
  <c r="G8" i="10"/>
  <c r="V26" i="10" s="1"/>
  <c r="F8" i="10"/>
  <c r="AC7" i="10"/>
  <c r="X25" i="10" s="1"/>
  <c r="AB7" i="10"/>
  <c r="R7" i="10"/>
  <c r="W25" i="10" s="1"/>
  <c r="Q7" i="10"/>
  <c r="G7" i="10"/>
  <c r="V25" i="10" s="1"/>
  <c r="F7" i="10"/>
  <c r="AC6" i="10"/>
  <c r="X24" i="10" s="1"/>
  <c r="AB6" i="10"/>
  <c r="R6" i="10"/>
  <c r="W24" i="10" s="1"/>
  <c r="Q6" i="10"/>
  <c r="G6" i="10"/>
  <c r="V24" i="10" s="1"/>
  <c r="F6" i="10"/>
  <c r="E14" i="10" s="1"/>
  <c r="AC5" i="10"/>
  <c r="X23" i="10" s="1"/>
  <c r="AB5" i="10"/>
  <c r="R5" i="10"/>
  <c r="W23" i="10" s="1"/>
  <c r="Q5" i="10"/>
  <c r="G5" i="10"/>
  <c r="V23" i="10" s="1"/>
  <c r="F5" i="10"/>
  <c r="X22" i="10"/>
  <c r="AB4" i="10"/>
  <c r="R4" i="10"/>
  <c r="W22" i="10" s="1"/>
  <c r="Q4" i="10"/>
  <c r="G4" i="10"/>
  <c r="V22" i="10" s="1"/>
  <c r="F4" i="10"/>
  <c r="K25" i="1"/>
  <c r="K21" i="1"/>
  <c r="AE14" i="1"/>
  <c r="AC14" i="1"/>
  <c r="AG13" i="1"/>
  <c r="K30" i="1" s="1"/>
  <c r="AF13" i="1"/>
  <c r="AG12" i="1"/>
  <c r="K29" i="1" s="1"/>
  <c r="AF12" i="1"/>
  <c r="AG11" i="1"/>
  <c r="K28" i="1" s="1"/>
  <c r="AF11" i="1"/>
  <c r="AG10" i="1"/>
  <c r="K27" i="1" s="1"/>
  <c r="AF10" i="1"/>
  <c r="AG9" i="1"/>
  <c r="K26" i="1" s="1"/>
  <c r="AF9" i="1"/>
  <c r="AG8" i="1"/>
  <c r="AF8" i="1"/>
  <c r="AG7" i="1"/>
  <c r="K24" i="1" s="1"/>
  <c r="AF7" i="1"/>
  <c r="AG6" i="1"/>
  <c r="K23" i="1" s="1"/>
  <c r="AF6" i="1"/>
  <c r="AG5" i="1"/>
  <c r="K22" i="1" s="1"/>
  <c r="AF5" i="1"/>
  <c r="AG4" i="1"/>
  <c r="AF4" i="1"/>
  <c r="E74" i="8"/>
  <c r="G74" i="8" s="1"/>
  <c r="D74" i="8"/>
  <c r="C74" i="8"/>
  <c r="G73" i="8"/>
  <c r="F73" i="8"/>
  <c r="D73" i="8"/>
  <c r="G72" i="8"/>
  <c r="F72" i="8"/>
  <c r="D72" i="8"/>
  <c r="G71" i="8"/>
  <c r="F71" i="8"/>
  <c r="D71" i="8"/>
  <c r="G70" i="8"/>
  <c r="F70" i="8"/>
  <c r="D70" i="8"/>
  <c r="G69" i="8"/>
  <c r="F69" i="8"/>
  <c r="D69" i="8"/>
  <c r="G68" i="8"/>
  <c r="F68" i="8"/>
  <c r="D68" i="8"/>
  <c r="G67" i="8"/>
  <c r="F67" i="8"/>
  <c r="D67" i="8"/>
  <c r="G66" i="8"/>
  <c r="F66" i="8"/>
  <c r="D66" i="8"/>
  <c r="G65" i="8"/>
  <c r="F65" i="8"/>
  <c r="D65" i="8"/>
  <c r="H64" i="8"/>
  <c r="H65" i="8" s="1"/>
  <c r="G64" i="8"/>
  <c r="F64" i="8"/>
  <c r="D64" i="8"/>
  <c r="E59" i="8"/>
  <c r="G59" i="8" s="1"/>
  <c r="C59" i="8"/>
  <c r="G58" i="8"/>
  <c r="F58" i="8"/>
  <c r="D58" i="8"/>
  <c r="G57" i="8"/>
  <c r="F57" i="8"/>
  <c r="D57" i="8"/>
  <c r="G56" i="8"/>
  <c r="F56" i="8"/>
  <c r="D56" i="8"/>
  <c r="G55" i="8"/>
  <c r="F55" i="8"/>
  <c r="D55" i="8"/>
  <c r="G54" i="8"/>
  <c r="F54" i="8"/>
  <c r="D54" i="8"/>
  <c r="G53" i="8"/>
  <c r="F53" i="8"/>
  <c r="D53" i="8"/>
  <c r="G52" i="8"/>
  <c r="F52" i="8"/>
  <c r="D52" i="8"/>
  <c r="G51" i="8"/>
  <c r="F51" i="8"/>
  <c r="D51" i="8"/>
  <c r="G50" i="8"/>
  <c r="F50" i="8"/>
  <c r="D50" i="8"/>
  <c r="H49" i="8"/>
  <c r="G49" i="8"/>
  <c r="F49" i="8"/>
  <c r="D49" i="8"/>
  <c r="D59" i="8" s="1"/>
  <c r="E44" i="8"/>
  <c r="C44" i="8"/>
  <c r="G43" i="8"/>
  <c r="F43" i="8"/>
  <c r="D43" i="8"/>
  <c r="G42" i="8"/>
  <c r="F42" i="8"/>
  <c r="D42" i="8"/>
  <c r="G41" i="8"/>
  <c r="F41" i="8"/>
  <c r="D41" i="8"/>
  <c r="G40" i="8"/>
  <c r="F40" i="8"/>
  <c r="D40" i="8"/>
  <c r="G39" i="8"/>
  <c r="F39" i="8"/>
  <c r="D39" i="8"/>
  <c r="G38" i="8"/>
  <c r="F38" i="8"/>
  <c r="D38" i="8"/>
  <c r="G37" i="8"/>
  <c r="F37" i="8"/>
  <c r="D37" i="8"/>
  <c r="G36" i="8"/>
  <c r="F36" i="8"/>
  <c r="D36" i="8"/>
  <c r="G35" i="8"/>
  <c r="F35" i="8"/>
  <c r="D35" i="8"/>
  <c r="H34" i="8"/>
  <c r="H35" i="8" s="1"/>
  <c r="G34" i="8"/>
  <c r="F34" i="8"/>
  <c r="I34" i="8" s="1"/>
  <c r="J34" i="8" s="1"/>
  <c r="J44" i="8" s="1"/>
  <c r="D34" i="8"/>
  <c r="D44" i="8" s="1"/>
  <c r="E29" i="8"/>
  <c r="C29" i="8"/>
  <c r="G29" i="8" s="1"/>
  <c r="G28" i="8"/>
  <c r="F28" i="8"/>
  <c r="D28" i="8"/>
  <c r="G27" i="8"/>
  <c r="F27" i="8"/>
  <c r="D27" i="8"/>
  <c r="G26" i="8"/>
  <c r="F26" i="8"/>
  <c r="D26" i="8"/>
  <c r="G25" i="8"/>
  <c r="F25" i="8"/>
  <c r="D25" i="8"/>
  <c r="G24" i="8"/>
  <c r="F24" i="8"/>
  <c r="D24" i="8"/>
  <c r="G23" i="8"/>
  <c r="F23" i="8"/>
  <c r="D23" i="8"/>
  <c r="G22" i="8"/>
  <c r="F22" i="8"/>
  <c r="D22" i="8"/>
  <c r="G21" i="8"/>
  <c r="F21" i="8"/>
  <c r="D21" i="8"/>
  <c r="G20" i="8"/>
  <c r="F20" i="8"/>
  <c r="D20" i="8"/>
  <c r="H19" i="8"/>
  <c r="H20" i="8" s="1"/>
  <c r="G19" i="8"/>
  <c r="F19" i="8"/>
  <c r="D19" i="8"/>
  <c r="D29" i="8" s="1"/>
  <c r="E14" i="8"/>
  <c r="G14" i="8" s="1"/>
  <c r="C14" i="8"/>
  <c r="G13" i="8"/>
  <c r="F13" i="8"/>
  <c r="D13" i="8"/>
  <c r="G12" i="8"/>
  <c r="F12" i="8"/>
  <c r="D12" i="8"/>
  <c r="G11" i="8"/>
  <c r="F11" i="8"/>
  <c r="D11" i="8"/>
  <c r="G10" i="8"/>
  <c r="F10" i="8"/>
  <c r="D10" i="8"/>
  <c r="G9" i="8"/>
  <c r="F9" i="8"/>
  <c r="D9" i="8"/>
  <c r="G8" i="8"/>
  <c r="F8" i="8"/>
  <c r="D8" i="8"/>
  <c r="G7" i="8"/>
  <c r="F7" i="8"/>
  <c r="D7" i="8"/>
  <c r="G6" i="8"/>
  <c r="F6" i="8"/>
  <c r="D6" i="8"/>
  <c r="H5" i="8"/>
  <c r="G5" i="8"/>
  <c r="F5" i="8"/>
  <c r="D5" i="8"/>
  <c r="H4" i="8"/>
  <c r="G4" i="8"/>
  <c r="F4" i="8"/>
  <c r="D4" i="8"/>
  <c r="H19" i="1"/>
  <c r="F23" i="1"/>
  <c r="F22" i="1"/>
  <c r="E21" i="1"/>
  <c r="D21" i="1"/>
  <c r="F21" i="1" s="1"/>
  <c r="Y14" i="1"/>
  <c r="Z9" i="1" s="1"/>
  <c r="P14" i="1"/>
  <c r="N14" i="1"/>
  <c r="O11" i="1" s="1"/>
  <c r="E14" i="1"/>
  <c r="AH4" i="1" s="1"/>
  <c r="AH5" i="1" s="1"/>
  <c r="AH6" i="1" s="1"/>
  <c r="C14" i="1"/>
  <c r="D12" i="1" s="1"/>
  <c r="R13" i="1"/>
  <c r="J30" i="1" s="1"/>
  <c r="Q13" i="1"/>
  <c r="G13" i="1"/>
  <c r="I30" i="1" s="1"/>
  <c r="F13" i="1"/>
  <c r="R12" i="1"/>
  <c r="J29" i="1" s="1"/>
  <c r="Q12" i="1"/>
  <c r="G12" i="1"/>
  <c r="I29" i="1" s="1"/>
  <c r="F12" i="1"/>
  <c r="R11" i="1"/>
  <c r="J28" i="1" s="1"/>
  <c r="Q11" i="1"/>
  <c r="G11" i="1"/>
  <c r="I28" i="1" s="1"/>
  <c r="F11" i="1"/>
  <c r="R10" i="1"/>
  <c r="J27" i="1" s="1"/>
  <c r="Q10" i="1"/>
  <c r="G10" i="1"/>
  <c r="I27" i="1" s="1"/>
  <c r="F10" i="1"/>
  <c r="R9" i="1"/>
  <c r="J26" i="1" s="1"/>
  <c r="Q9" i="1"/>
  <c r="G9" i="1"/>
  <c r="I26" i="1" s="1"/>
  <c r="F9" i="1"/>
  <c r="R8" i="1"/>
  <c r="J25" i="1" s="1"/>
  <c r="Q8" i="1"/>
  <c r="G8" i="1"/>
  <c r="I25" i="1" s="1"/>
  <c r="F8" i="1"/>
  <c r="R7" i="1"/>
  <c r="J24" i="1" s="1"/>
  <c r="Q7" i="1"/>
  <c r="G7" i="1"/>
  <c r="I24" i="1" s="1"/>
  <c r="F7" i="1"/>
  <c r="R6" i="1"/>
  <c r="J23" i="1" s="1"/>
  <c r="Q6" i="1"/>
  <c r="G6" i="1"/>
  <c r="I23" i="1" s="1"/>
  <c r="F6" i="1"/>
  <c r="R5" i="1"/>
  <c r="J22" i="1" s="1"/>
  <c r="Q5" i="1"/>
  <c r="G5" i="1"/>
  <c r="I22" i="1" s="1"/>
  <c r="F5" i="1"/>
  <c r="R4" i="1"/>
  <c r="J21" i="1" s="1"/>
  <c r="Q4" i="1"/>
  <c r="H4" i="1"/>
  <c r="H5" i="1" s="1"/>
  <c r="G4" i="1"/>
  <c r="I21" i="1" s="1"/>
  <c r="R37" i="1" s="1"/>
  <c r="S37" i="1" s="1"/>
  <c r="F4" i="1"/>
  <c r="S4" i="10" l="1"/>
  <c r="R14" i="10"/>
  <c r="R21" i="10" s="1"/>
  <c r="H4" i="10"/>
  <c r="AD4" i="10"/>
  <c r="AD5" i="10" s="1"/>
  <c r="AD6" i="10" s="1"/>
  <c r="AD7" i="10" s="1"/>
  <c r="AD8" i="10" s="1"/>
  <c r="AD9" i="10" s="1"/>
  <c r="AD10" i="10" s="1"/>
  <c r="AD11" i="10" s="1"/>
  <c r="AD12" i="10" s="1"/>
  <c r="AD13" i="10" s="1"/>
  <c r="AC14" i="10"/>
  <c r="S21" i="10" s="1"/>
  <c r="O11" i="10"/>
  <c r="O4" i="10"/>
  <c r="S5" i="10"/>
  <c r="S6" i="10" s="1"/>
  <c r="Z10" i="10"/>
  <c r="Z13" i="10"/>
  <c r="Z4" i="10"/>
  <c r="Z8" i="10"/>
  <c r="Z11" i="10"/>
  <c r="Z5" i="10"/>
  <c r="Z7" i="10"/>
  <c r="Z9" i="10"/>
  <c r="Z12" i="10"/>
  <c r="Z6" i="10"/>
  <c r="H5" i="10"/>
  <c r="O57" i="10"/>
  <c r="P57" i="10" s="1"/>
  <c r="M65" i="10"/>
  <c r="N65" i="10" s="1"/>
  <c r="F14" i="10"/>
  <c r="Q14" i="10"/>
  <c r="T4" i="10" s="1"/>
  <c r="V4" i="10" s="1"/>
  <c r="O63" i="10"/>
  <c r="P63" i="10" s="1"/>
  <c r="O61" i="10"/>
  <c r="P61" i="10" s="1"/>
  <c r="O64" i="10"/>
  <c r="P64" i="10" s="1"/>
  <c r="O58" i="10"/>
  <c r="P58" i="10" s="1"/>
  <c r="O66" i="10"/>
  <c r="P66" i="10" s="1"/>
  <c r="M63" i="10"/>
  <c r="N63" i="10" s="1"/>
  <c r="O59" i="10"/>
  <c r="P59" i="10" s="1"/>
  <c r="M61" i="10"/>
  <c r="N61" i="10" s="1"/>
  <c r="M58" i="10"/>
  <c r="N58" i="10" s="1"/>
  <c r="M64" i="10"/>
  <c r="N64" i="10" s="1"/>
  <c r="M66" i="10"/>
  <c r="N66" i="10" s="1"/>
  <c r="M57" i="10"/>
  <c r="N57" i="10" s="1"/>
  <c r="O60" i="10"/>
  <c r="P60" i="10" s="1"/>
  <c r="M62" i="10"/>
  <c r="N62" i="10" s="1"/>
  <c r="O65" i="10"/>
  <c r="P65" i="10" s="1"/>
  <c r="M59" i="10"/>
  <c r="N59" i="10" s="1"/>
  <c r="O62" i="10"/>
  <c r="P62" i="10" s="1"/>
  <c r="M60" i="10"/>
  <c r="N60" i="10" s="1"/>
  <c r="O6" i="10"/>
  <c r="O9" i="10"/>
  <c r="O10" i="10"/>
  <c r="O13" i="10"/>
  <c r="AB14" i="10"/>
  <c r="O8" i="10"/>
  <c r="O12" i="10"/>
  <c r="O5" i="10"/>
  <c r="O7" i="10"/>
  <c r="AG14" i="1"/>
  <c r="AF14" i="1"/>
  <c r="Z8" i="1"/>
  <c r="N25" i="1" s="1"/>
  <c r="D9" i="1"/>
  <c r="N26" i="1" s="1"/>
  <c r="D6" i="1"/>
  <c r="AD4" i="1"/>
  <c r="P21" i="1" s="1"/>
  <c r="AD10" i="1"/>
  <c r="AD13" i="1"/>
  <c r="D8" i="1"/>
  <c r="AD8" i="1"/>
  <c r="P25" i="1" s="1"/>
  <c r="D5" i="1"/>
  <c r="D13" i="1"/>
  <c r="AD6" i="1"/>
  <c r="AD11" i="1"/>
  <c r="P28" i="1" s="1"/>
  <c r="D11" i="1"/>
  <c r="O28" i="1" s="1"/>
  <c r="D7" i="1"/>
  <c r="D10" i="1"/>
  <c r="AD9" i="1"/>
  <c r="AD5" i="1"/>
  <c r="P22" i="1" s="1"/>
  <c r="AD12" i="1"/>
  <c r="P29" i="1" s="1"/>
  <c r="AD7" i="1"/>
  <c r="D4" i="1"/>
  <c r="AH7" i="1"/>
  <c r="R14" i="1"/>
  <c r="S4" i="1"/>
  <c r="S5" i="1" s="1"/>
  <c r="S6" i="1" s="1"/>
  <c r="R46" i="1"/>
  <c r="S46" i="1" s="1"/>
  <c r="F14" i="1"/>
  <c r="O10" i="1"/>
  <c r="O27" i="1" s="1"/>
  <c r="O7" i="1"/>
  <c r="O24" i="1" s="1"/>
  <c r="R38" i="1"/>
  <c r="S38" i="1" s="1"/>
  <c r="O9" i="1"/>
  <c r="O4" i="1"/>
  <c r="O8" i="1"/>
  <c r="O25" i="1" s="1"/>
  <c r="G14" i="1"/>
  <c r="O12" i="1"/>
  <c r="O29" i="1" s="1"/>
  <c r="T43" i="1"/>
  <c r="U43" i="1" s="1"/>
  <c r="T41" i="1"/>
  <c r="U41" i="1" s="1"/>
  <c r="Q14" i="1"/>
  <c r="R40" i="1"/>
  <c r="S40" i="1" s="1"/>
  <c r="R42" i="1"/>
  <c r="S42" i="1" s="1"/>
  <c r="R45" i="1"/>
  <c r="S45" i="1" s="1"/>
  <c r="R44" i="1"/>
  <c r="S44" i="1" s="1"/>
  <c r="H6" i="1"/>
  <c r="T42" i="1"/>
  <c r="U42" i="1" s="1"/>
  <c r="R39" i="1"/>
  <c r="S39" i="1" s="1"/>
  <c r="T45" i="1"/>
  <c r="U45" i="1" s="1"/>
  <c r="T39" i="1"/>
  <c r="U39" i="1" s="1"/>
  <c r="T37" i="1"/>
  <c r="U37" i="1" s="1"/>
  <c r="T46" i="1"/>
  <c r="U46" i="1" s="1"/>
  <c r="T38" i="1"/>
  <c r="U38" i="1" s="1"/>
  <c r="R43" i="1"/>
  <c r="S43" i="1" s="1"/>
  <c r="T44" i="1"/>
  <c r="U44" i="1" s="1"/>
  <c r="T4" i="1"/>
  <c r="U4" i="1" s="1"/>
  <c r="T40" i="1"/>
  <c r="U40" i="1" s="1"/>
  <c r="Z10" i="1"/>
  <c r="N27" i="1" s="1"/>
  <c r="Z11" i="1"/>
  <c r="N28" i="1" s="1"/>
  <c r="Z12" i="1"/>
  <c r="N29" i="1" s="1"/>
  <c r="Z4" i="1"/>
  <c r="Z13" i="1"/>
  <c r="Z5" i="1"/>
  <c r="N22" i="1" s="1"/>
  <c r="Z6" i="1"/>
  <c r="N23" i="1" s="1"/>
  <c r="Z7" i="1"/>
  <c r="N24" i="1" s="1"/>
  <c r="R41" i="1"/>
  <c r="S41" i="1" s="1"/>
  <c r="F59" i="8"/>
  <c r="I49" i="8"/>
  <c r="I50" i="8" s="1"/>
  <c r="I51" i="8" s="1"/>
  <c r="I52" i="8" s="1"/>
  <c r="I53" i="8" s="1"/>
  <c r="O6" i="1"/>
  <c r="O23" i="1" s="1"/>
  <c r="O5" i="1"/>
  <c r="O13" i="1"/>
  <c r="H21" i="8"/>
  <c r="I54" i="8"/>
  <c r="H6" i="8"/>
  <c r="K49" i="8"/>
  <c r="K59" i="8" s="1"/>
  <c r="J49" i="8"/>
  <c r="J59" i="8" s="1"/>
  <c r="H50" i="8"/>
  <c r="D14" i="8"/>
  <c r="H36" i="8"/>
  <c r="F74" i="8"/>
  <c r="I4" i="8"/>
  <c r="I5" i="8" s="1"/>
  <c r="K34" i="8"/>
  <c r="K44" i="8" s="1"/>
  <c r="G44" i="8"/>
  <c r="I55" i="8"/>
  <c r="I56" i="8" s="1"/>
  <c r="I57" i="8" s="1"/>
  <c r="I58" i="8" s="1"/>
  <c r="H66" i="8"/>
  <c r="K4" i="8"/>
  <c r="I19" i="8"/>
  <c r="I20" i="8" s="1"/>
  <c r="J20" i="8" s="1"/>
  <c r="I35" i="8"/>
  <c r="K35" i="8" s="1"/>
  <c r="F44" i="8"/>
  <c r="I64" i="8"/>
  <c r="F29" i="8"/>
  <c r="F14" i="8"/>
  <c r="J64" i="8"/>
  <c r="J74" i="8" s="1"/>
  <c r="AE4" i="10" l="1"/>
  <c r="AE5" i="10" s="1"/>
  <c r="H6" i="10"/>
  <c r="H7" i="10" s="1"/>
  <c r="Z14" i="10"/>
  <c r="U4" i="10"/>
  <c r="P67" i="10"/>
  <c r="I4" i="10"/>
  <c r="N67" i="10"/>
  <c r="S7" i="10"/>
  <c r="T5" i="10"/>
  <c r="O14" i="10"/>
  <c r="D14" i="1"/>
  <c r="N30" i="1"/>
  <c r="P24" i="1"/>
  <c r="P23" i="1"/>
  <c r="O30" i="1"/>
  <c r="O22" i="1"/>
  <c r="P26" i="1"/>
  <c r="O21" i="1"/>
  <c r="P30" i="1"/>
  <c r="P31" i="1" s="1"/>
  <c r="O26" i="1"/>
  <c r="P27" i="1"/>
  <c r="Z14" i="1"/>
  <c r="N21" i="1"/>
  <c r="N31" i="1" s="1"/>
  <c r="AD14" i="1"/>
  <c r="I4" i="1"/>
  <c r="J4" i="1" s="1"/>
  <c r="AI4" i="1"/>
  <c r="AH8" i="1"/>
  <c r="U47" i="1"/>
  <c r="O14" i="1"/>
  <c r="K5" i="8"/>
  <c r="J5" i="8"/>
  <c r="I6" i="8"/>
  <c r="I7" i="8" s="1"/>
  <c r="I8" i="8" s="1"/>
  <c r="I9" i="8" s="1"/>
  <c r="I10" i="8" s="1"/>
  <c r="I11" i="8" s="1"/>
  <c r="I12" i="8" s="1"/>
  <c r="I13" i="8" s="1"/>
  <c r="H7" i="1"/>
  <c r="J4" i="8"/>
  <c r="K6" i="8"/>
  <c r="H7" i="8"/>
  <c r="J6" i="8"/>
  <c r="T5" i="1"/>
  <c r="I36" i="8"/>
  <c r="I37" i="8" s="1"/>
  <c r="I38" i="8" s="1"/>
  <c r="I39" i="8" s="1"/>
  <c r="I40" i="8" s="1"/>
  <c r="I41" i="8" s="1"/>
  <c r="I42" i="8" s="1"/>
  <c r="I43" i="8" s="1"/>
  <c r="V4" i="1"/>
  <c r="I65" i="8"/>
  <c r="K64" i="8"/>
  <c r="K74" i="8" s="1"/>
  <c r="H67" i="8"/>
  <c r="K50" i="8"/>
  <c r="H51" i="8"/>
  <c r="J50" i="8"/>
  <c r="K36" i="8"/>
  <c r="H37" i="8"/>
  <c r="H22" i="8"/>
  <c r="J35" i="8"/>
  <c r="S7" i="1"/>
  <c r="I21" i="8"/>
  <c r="I22" i="8" s="1"/>
  <c r="I23" i="8" s="1"/>
  <c r="I24" i="8" s="1"/>
  <c r="I25" i="8" s="1"/>
  <c r="I26" i="8" s="1"/>
  <c r="I27" i="8" s="1"/>
  <c r="I28" i="8" s="1"/>
  <c r="K20" i="8"/>
  <c r="K19" i="8"/>
  <c r="K29" i="8" s="1"/>
  <c r="J19" i="8"/>
  <c r="J29" i="8" s="1"/>
  <c r="S47" i="1"/>
  <c r="AG5" i="10" l="1"/>
  <c r="AE6" i="10"/>
  <c r="AE7" i="10" s="1"/>
  <c r="AE8" i="10" s="1"/>
  <c r="AE9" i="10" s="1"/>
  <c r="AE10" i="10" s="1"/>
  <c r="AE11" i="10" s="1"/>
  <c r="AE12" i="10" s="1"/>
  <c r="AE13" i="10" s="1"/>
  <c r="I5" i="10"/>
  <c r="K5" i="10" s="1"/>
  <c r="K4" i="10"/>
  <c r="AG4" i="10"/>
  <c r="AF4" i="10"/>
  <c r="AF5" i="10"/>
  <c r="J4" i="10"/>
  <c r="H8" i="10"/>
  <c r="S8" i="10"/>
  <c r="I6" i="10"/>
  <c r="U5" i="10"/>
  <c r="T6" i="10"/>
  <c r="V5" i="10"/>
  <c r="O31" i="1"/>
  <c r="I5" i="1"/>
  <c r="J5" i="1" s="1"/>
  <c r="K4" i="1"/>
  <c r="AJ4" i="1"/>
  <c r="AK4" i="1"/>
  <c r="AI5" i="1"/>
  <c r="AH9" i="1"/>
  <c r="K37" i="8"/>
  <c r="J37" i="8"/>
  <c r="H38" i="8"/>
  <c r="I6" i="1"/>
  <c r="J22" i="8"/>
  <c r="H23" i="8"/>
  <c r="K22" i="8"/>
  <c r="J36" i="8"/>
  <c r="H8" i="1"/>
  <c r="K7" i="8"/>
  <c r="J7" i="8"/>
  <c r="H8" i="8"/>
  <c r="U5" i="1"/>
  <c r="V5" i="1"/>
  <c r="T6" i="1"/>
  <c r="S8" i="1"/>
  <c r="J21" i="8"/>
  <c r="J65" i="8"/>
  <c r="K65" i="8"/>
  <c r="I66" i="8"/>
  <c r="H68" i="8"/>
  <c r="K21" i="8"/>
  <c r="H52" i="8"/>
  <c r="K51" i="8"/>
  <c r="J51" i="8"/>
  <c r="J5" i="10" l="1"/>
  <c r="AG7" i="10"/>
  <c r="AF6" i="10"/>
  <c r="AG6" i="10"/>
  <c r="H9" i="10"/>
  <c r="U6" i="10"/>
  <c r="T7" i="10"/>
  <c r="V6" i="10"/>
  <c r="S9" i="10"/>
  <c r="J6" i="10"/>
  <c r="I7" i="10"/>
  <c r="K6" i="10"/>
  <c r="AF7" i="10"/>
  <c r="K5" i="1"/>
  <c r="AJ5" i="1"/>
  <c r="AK5" i="1"/>
  <c r="AI6" i="1"/>
  <c r="AH10" i="1"/>
  <c r="I67" i="8"/>
  <c r="J66" i="8"/>
  <c r="K66" i="8"/>
  <c r="K38" i="8"/>
  <c r="J38" i="8"/>
  <c r="H39" i="8"/>
  <c r="J6" i="1"/>
  <c r="I7" i="1"/>
  <c r="K6" i="1"/>
  <c r="H9" i="8"/>
  <c r="J8" i="8"/>
  <c r="K8" i="8"/>
  <c r="H53" i="8"/>
  <c r="J52" i="8"/>
  <c r="K52" i="8"/>
  <c r="U6" i="1"/>
  <c r="T7" i="1"/>
  <c r="V6" i="1"/>
  <c r="H69" i="8"/>
  <c r="S9" i="1"/>
  <c r="H9" i="1"/>
  <c r="K23" i="8"/>
  <c r="J23" i="8"/>
  <c r="H24" i="8"/>
  <c r="H10" i="10" l="1"/>
  <c r="U7" i="10"/>
  <c r="T8" i="10"/>
  <c r="V7" i="10"/>
  <c r="J7" i="10"/>
  <c r="I8" i="10"/>
  <c r="K7" i="10"/>
  <c r="AG8" i="10"/>
  <c r="AF8" i="10"/>
  <c r="S10" i="10"/>
  <c r="AJ6" i="1"/>
  <c r="AK6" i="1"/>
  <c r="AI7" i="1"/>
  <c r="AH11" i="1"/>
  <c r="H40" i="8"/>
  <c r="K39" i="8"/>
  <c r="J39" i="8"/>
  <c r="S10" i="1"/>
  <c r="H54" i="8"/>
  <c r="K53" i="8"/>
  <c r="J53" i="8"/>
  <c r="J7" i="1"/>
  <c r="I8" i="1"/>
  <c r="K7" i="1"/>
  <c r="K24" i="8"/>
  <c r="J24" i="8"/>
  <c r="H25" i="8"/>
  <c r="H10" i="8"/>
  <c r="K9" i="8"/>
  <c r="J9" i="8"/>
  <c r="H10" i="1"/>
  <c r="H70" i="8"/>
  <c r="U7" i="1"/>
  <c r="T8" i="1"/>
  <c r="V7" i="1"/>
  <c r="I68" i="8"/>
  <c r="J67" i="8"/>
  <c r="K67" i="8"/>
  <c r="J8" i="10" l="1"/>
  <c r="I9" i="10"/>
  <c r="K8" i="10"/>
  <c r="S11" i="10"/>
  <c r="AG9" i="10"/>
  <c r="AF9" i="10"/>
  <c r="U8" i="10"/>
  <c r="T9" i="10"/>
  <c r="V8" i="10"/>
  <c r="H11" i="10"/>
  <c r="AI8" i="1"/>
  <c r="AJ7" i="1"/>
  <c r="AK7" i="1"/>
  <c r="AH12" i="1"/>
  <c r="J10" i="8"/>
  <c r="H11" i="8"/>
  <c r="K10" i="8"/>
  <c r="J8" i="1"/>
  <c r="I9" i="1"/>
  <c r="K8" i="1"/>
  <c r="K25" i="8"/>
  <c r="J25" i="8"/>
  <c r="H26" i="8"/>
  <c r="H11" i="1"/>
  <c r="H41" i="8"/>
  <c r="J40" i="8"/>
  <c r="K40" i="8"/>
  <c r="S11" i="1"/>
  <c r="I69" i="8"/>
  <c r="K68" i="8"/>
  <c r="J68" i="8"/>
  <c r="U8" i="1"/>
  <c r="T9" i="1"/>
  <c r="V8" i="1"/>
  <c r="J54" i="8"/>
  <c r="H55" i="8"/>
  <c r="K54" i="8"/>
  <c r="H71" i="8"/>
  <c r="AG10" i="10" l="1"/>
  <c r="AF10" i="10"/>
  <c r="H12" i="10"/>
  <c r="S12" i="10"/>
  <c r="U9" i="10"/>
  <c r="T10" i="10"/>
  <c r="V9" i="10"/>
  <c r="J9" i="10"/>
  <c r="I10" i="10"/>
  <c r="K9" i="10"/>
  <c r="AJ8" i="1"/>
  <c r="AI9" i="1"/>
  <c r="AK8" i="1"/>
  <c r="AH13" i="1"/>
  <c r="K55" i="8"/>
  <c r="J55" i="8"/>
  <c r="H56" i="8"/>
  <c r="S12" i="1"/>
  <c r="H42" i="8"/>
  <c r="K41" i="8"/>
  <c r="J41" i="8"/>
  <c r="J9" i="1"/>
  <c r="I10" i="1"/>
  <c r="K9" i="1"/>
  <c r="U9" i="1"/>
  <c r="T10" i="1"/>
  <c r="V9" i="1"/>
  <c r="K26" i="8"/>
  <c r="H27" i="8"/>
  <c r="J26" i="8"/>
  <c r="K11" i="8"/>
  <c r="J11" i="8"/>
  <c r="H12" i="8"/>
  <c r="H12" i="1"/>
  <c r="H72" i="8"/>
  <c r="I70" i="8"/>
  <c r="K69" i="8"/>
  <c r="J69" i="8"/>
  <c r="S13" i="10" l="1"/>
  <c r="H13" i="10"/>
  <c r="U10" i="10"/>
  <c r="T11" i="10"/>
  <c r="V10" i="10"/>
  <c r="J10" i="10"/>
  <c r="I11" i="10"/>
  <c r="K10" i="10"/>
  <c r="AG11" i="10"/>
  <c r="AF11" i="10"/>
  <c r="AI10" i="1"/>
  <c r="AJ9" i="1"/>
  <c r="AK9" i="1"/>
  <c r="H28" i="8"/>
  <c r="K27" i="8"/>
  <c r="J27" i="8"/>
  <c r="U10" i="1"/>
  <c r="T11" i="1"/>
  <c r="V10" i="1"/>
  <c r="S13" i="1"/>
  <c r="K12" i="8"/>
  <c r="J12" i="8"/>
  <c r="H13" i="8"/>
  <c r="J42" i="8"/>
  <c r="H43" i="8"/>
  <c r="K42" i="8"/>
  <c r="I71" i="8"/>
  <c r="K70" i="8"/>
  <c r="J70" i="8"/>
  <c r="H73" i="8"/>
  <c r="H13" i="1"/>
  <c r="J10" i="1"/>
  <c r="I11" i="1"/>
  <c r="K10" i="1"/>
  <c r="K56" i="8"/>
  <c r="J56" i="8"/>
  <c r="H57" i="8"/>
  <c r="U11" i="10" l="1"/>
  <c r="T12" i="10"/>
  <c r="V11" i="10"/>
  <c r="AG12" i="10"/>
  <c r="AG13" i="10"/>
  <c r="AG14" i="10" s="1"/>
  <c r="S23" i="10" s="1"/>
  <c r="AF12" i="10"/>
  <c r="J11" i="10"/>
  <c r="I12" i="10"/>
  <c r="K11" i="10"/>
  <c r="AI11" i="1"/>
  <c r="AK10" i="1"/>
  <c r="AJ10" i="1"/>
  <c r="K13" i="8"/>
  <c r="K14" i="8" s="1"/>
  <c r="J13" i="8"/>
  <c r="J14" i="8" s="1"/>
  <c r="K57" i="8"/>
  <c r="J57" i="8"/>
  <c r="H58" i="8"/>
  <c r="K43" i="8"/>
  <c r="J43" i="8"/>
  <c r="U11" i="1"/>
  <c r="T12" i="1"/>
  <c r="V11" i="1"/>
  <c r="J11" i="1"/>
  <c r="I12" i="1"/>
  <c r="K11" i="1"/>
  <c r="I72" i="8"/>
  <c r="K71" i="8"/>
  <c r="J71" i="8"/>
  <c r="J28" i="8"/>
  <c r="K28" i="8"/>
  <c r="U12" i="10" l="1"/>
  <c r="T13" i="10"/>
  <c r="V13" i="10" s="1"/>
  <c r="V12" i="10"/>
  <c r="J12" i="10"/>
  <c r="I13" i="10"/>
  <c r="K12" i="10"/>
  <c r="AG15" i="10"/>
  <c r="AF13" i="10"/>
  <c r="AI12" i="1"/>
  <c r="AK11" i="1"/>
  <c r="AJ11" i="1"/>
  <c r="J12" i="1"/>
  <c r="I13" i="1"/>
  <c r="K12" i="1"/>
  <c r="K58" i="8"/>
  <c r="J58" i="8"/>
  <c r="I73" i="8"/>
  <c r="J72" i="8"/>
  <c r="K72" i="8"/>
  <c r="U12" i="1"/>
  <c r="T13" i="1"/>
  <c r="V12" i="1"/>
  <c r="J13" i="10" l="1"/>
  <c r="K13" i="10"/>
  <c r="K14" i="10" s="1"/>
  <c r="U13" i="10"/>
  <c r="V14" i="10"/>
  <c r="AI13" i="1"/>
  <c r="AJ12" i="1"/>
  <c r="AK12" i="1"/>
  <c r="U13" i="1"/>
  <c r="V13" i="1"/>
  <c r="V14" i="1" s="1"/>
  <c r="V15" i="1" s="1"/>
  <c r="J13" i="1"/>
  <c r="K13" i="1"/>
  <c r="K14" i="1" s="1"/>
  <c r="K15" i="1" s="1"/>
  <c r="J73" i="8"/>
  <c r="K73" i="8"/>
  <c r="V15" i="10" l="1"/>
  <c r="R23" i="10"/>
  <c r="K15" i="10"/>
  <c r="Q23" i="10"/>
  <c r="AK13" i="1"/>
  <c r="AK14" i="1" s="1"/>
  <c r="AK15" i="1" s="1"/>
  <c r="AJ13" i="1"/>
  <c r="C14" i="10"/>
  <c r="D13" i="10" s="1"/>
  <c r="M31" i="10" s="1"/>
  <c r="D11" i="10" l="1"/>
  <c r="D12" i="10"/>
  <c r="M30" i="10" s="1"/>
  <c r="G14" i="10"/>
  <c r="Q21" i="10" s="1"/>
  <c r="D9" i="10"/>
  <c r="D5" i="10"/>
  <c r="N23" i="10" s="1"/>
  <c r="N31" i="10"/>
  <c r="D6" i="10"/>
  <c r="D10" i="10"/>
  <c r="D8" i="10"/>
  <c r="D4" i="10"/>
  <c r="D7" i="10"/>
  <c r="M23" i="10" l="1"/>
  <c r="N29" i="10"/>
  <c r="M29" i="10"/>
  <c r="N30" i="10"/>
  <c r="N27" i="10"/>
  <c r="M27" i="10"/>
  <c r="M22" i="10"/>
  <c r="N22" i="10"/>
  <c r="D14" i="10"/>
  <c r="N26" i="10"/>
  <c r="M26" i="10"/>
  <c r="M28" i="10"/>
  <c r="N28" i="10"/>
  <c r="M24" i="10"/>
  <c r="N24" i="10"/>
  <c r="M25" i="10"/>
  <c r="N25" i="10"/>
  <c r="N32" i="10" l="1"/>
  <c r="M32" i="10"/>
</calcChain>
</file>

<file path=xl/sharedStrings.xml><?xml version="1.0" encoding="utf-8"?>
<sst xmlns="http://schemas.openxmlformats.org/spreadsheetml/2006/main" count="199" uniqueCount="55">
  <si>
    <t>RF_PreDL_Risk_Model_V1.0 (ADF_MODEL_0204) 2025Q4</t>
  </si>
  <si>
    <t>Val Sample - Gains Table</t>
  </si>
  <si>
    <t>Monitoring Sample - Gains Table</t>
  </si>
  <si>
    <t>Tier</t>
  </si>
  <si>
    <t># Obs.</t>
  </si>
  <si>
    <t>% obs</t>
  </si>
  <si>
    <t>Bads</t>
  </si>
  <si>
    <t>Goods</t>
  </si>
  <si>
    <t>Marginal Bad %</t>
  </si>
  <si>
    <t>Cum Bad %</t>
  </si>
  <si>
    <t>Cum Good %</t>
  </si>
  <si>
    <t>KS</t>
  </si>
  <si>
    <t>AUC</t>
  </si>
  <si>
    <t>Overall</t>
  </si>
  <si>
    <t xml:space="preserve">Max KS --&gt; </t>
  </si>
  <si>
    <t>GINI --&gt;</t>
  </si>
  <si>
    <t>PSI - Computation</t>
  </si>
  <si>
    <t>Val Sample</t>
  </si>
  <si>
    <t>Monitoring Sample</t>
  </si>
  <si>
    <t>DV</t>
  </si>
  <si>
    <t>Triggers</t>
  </si>
  <si>
    <t>6pd_30</t>
  </si>
  <si>
    <t>VAL - Monitoring Sample PSI</t>
  </si>
  <si>
    <t>VAL - Recent Sample PSI</t>
  </si>
  <si>
    <t>Rank Order Break (Bad Rate)</t>
  </si>
  <si>
    <t>Ideal Bad Rate Ranking</t>
  </si>
  <si>
    <t>Validation  Bad Rate</t>
  </si>
  <si>
    <t>ROB</t>
  </si>
  <si>
    <t>Monitoring  Bad Rate</t>
  </si>
  <si>
    <t>Ranking</t>
  </si>
  <si>
    <t>(max(0,Val_rank-ideal_rank))</t>
  </si>
  <si>
    <t>(max(0,monitoring_rank-Dev_rank))</t>
  </si>
  <si>
    <t>*ROB= sum of breaks/worst sum of breaks</t>
  </si>
  <si>
    <t>Monitoring Sample - Gains Table Channel: RF</t>
  </si>
  <si>
    <t>OOT Sample - Gains Table</t>
  </si>
  <si>
    <t>OOT Sample</t>
  </si>
  <si>
    <t>VAL - Monitoring Sample</t>
  </si>
  <si>
    <t>OOT - Monitoring Sample</t>
  </si>
  <si>
    <t>Monitoring KS</t>
  </si>
  <si>
    <t>Val KS</t>
  </si>
  <si>
    <t>Recent Monitoring Sample - Tier Distribution</t>
  </si>
  <si>
    <t>VAL - Recent Sample</t>
  </si>
  <si>
    <t>VAL</t>
  </si>
  <si>
    <t>VAL Sample</t>
  </si>
  <si>
    <t>Test Sample</t>
  </si>
  <si>
    <t>Dev Sample</t>
  </si>
  <si>
    <t>DEV  - VAL</t>
  </si>
  <si>
    <t>DEV - TEST</t>
  </si>
  <si>
    <t>Tierwise Bad Rates</t>
  </si>
  <si>
    <t>DEV</t>
  </si>
  <si>
    <t>TEST</t>
  </si>
  <si>
    <t>DEV Sample - Gains Table</t>
  </si>
  <si>
    <t>VAL Sample - Gains Table</t>
  </si>
  <si>
    <t>TEST Sample - Gains Table</t>
  </si>
  <si>
    <t>Bad Rate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</si>
</sst>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9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b/>
      <sz val="9"/>
      <color rgb="FFFFFFFF"/>
      <name val="Calibri"/>
      <family val="2"/>
      <scheme val="minor"/>
    </font>
    <font>
      <sz val="9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9"/>
      <name val="Calibri"/>
      <family val="2"/>
      <scheme val="minor"/>
    </font>
    <font>
      <sz val="9"/>
      <color rgb="FF006100"/>
      <name val="Calibri"/>
      <family val="2"/>
    </font>
    <font>
      <b/>
      <sz val="10"/>
      <color theme="0"/>
      <name val="Calibri"/>
      <family val="2"/>
      <scheme val="minor"/>
    </font>
    <font>
      <sz val="9"/>
      <color theme="1"/>
      <name val="Poppins"/>
    </font>
    <font>
      <b/>
      <sz val="9"/>
      <color theme="0"/>
      <name val="Poppins"/>
    </font>
    <font>
      <sz val="9"/>
      <color theme="0"/>
      <name val="Poppins"/>
    </font>
    <font>
      <b/>
      <sz val="11"/>
      <color theme="0"/>
      <name val="Poppins"/>
    </font>
    <font>
      <sz val="11"/>
      <color theme="1"/>
      <name val="Poppins"/>
    </font>
    <font>
      <b/>
      <sz val="9"/>
      <color theme="1"/>
      <name val="Poppins"/>
    </font>
    <font>
      <b/>
      <sz val="12"/>
      <color theme="0"/>
      <name val="Poppins"/>
    </font>
    <font>
      <b/>
      <sz val="11"/>
      <color theme="1"/>
      <name val="Poppins"/>
    </font>
    <font>
      <b/>
      <sz val="12"/>
      <color theme="1"/>
      <name val="Poppins"/>
    </font>
    <font>
      <b/>
      <sz val="9"/>
      <color rgb="FF000000"/>
      <name val="Poppins"/>
    </font>
    <font>
      <sz val="9"/>
      <color rgb="FF000000"/>
      <name val="Poppins"/>
    </font>
    <font>
      <b/>
      <sz val="9"/>
      <color rgb="FFFFFFFF"/>
      <name val="Poppins"/>
    </font>
    <font>
      <b/>
      <sz val="8"/>
      <color theme="0"/>
      <name val="Poppins"/>
    </font>
  </fonts>
  <fills count="1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4070C4"/>
        <bgColor indexed="64"/>
      </patternFill>
    </fill>
    <fill>
      <patternFill patternType="solid">
        <fgColor rgb="FFB0C3E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</borders>
  <cellStyleXfs count="4">
    <xf numFmtId="0" fontId="0" fillId="0" borderId="0"/>
    <xf numFmtId="43" fontId="1" fillId="0" borderId="0"/>
    <xf numFmtId="9" fontId="1" fillId="0" borderId="0"/>
    <xf numFmtId="0" fontId="1" fillId="0" borderId="0"/>
  </cellStyleXfs>
  <cellXfs count="146">
    <xf numFmtId="0" fontId="0" fillId="0" borderId="0" xfId="0"/>
    <xf numFmtId="0" fontId="3" fillId="0" borderId="0" xfId="0" applyFont="1"/>
    <xf numFmtId="0" fontId="6" fillId="0" borderId="0" xfId="0" applyFont="1"/>
    <xf numFmtId="0" fontId="7" fillId="4" borderId="4" xfId="0" applyFont="1" applyFill="1" applyBorder="1" applyAlignment="1">
      <alignment horizontal="center" vertical="center" wrapText="1"/>
    </xf>
    <xf numFmtId="0" fontId="7" fillId="4" borderId="5" xfId="0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9" fontId="3" fillId="0" borderId="6" xfId="2" applyFont="1" applyBorder="1" applyAlignment="1">
      <alignment horizontal="center" vertical="center"/>
    </xf>
    <xf numFmtId="10" fontId="3" fillId="0" borderId="6" xfId="2" applyNumberFormat="1" applyFont="1" applyBorder="1" applyAlignment="1">
      <alignment horizontal="center" vertical="center"/>
    </xf>
    <xf numFmtId="10" fontId="3" fillId="0" borderId="6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9" fontId="3" fillId="0" borderId="7" xfId="2" applyFont="1" applyBorder="1" applyAlignment="1">
      <alignment horizontal="center" vertical="center"/>
    </xf>
    <xf numFmtId="10" fontId="3" fillId="0" borderId="7" xfId="2" applyNumberFormat="1" applyFont="1" applyBorder="1" applyAlignment="1">
      <alignment horizontal="center" vertical="center"/>
    </xf>
    <xf numFmtId="10" fontId="3" fillId="0" borderId="7" xfId="0" applyNumberFormat="1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9" fontId="3" fillId="0" borderId="8" xfId="2" applyFont="1" applyBorder="1" applyAlignment="1">
      <alignment horizontal="center" vertical="center"/>
    </xf>
    <xf numFmtId="10" fontId="3" fillId="0" borderId="8" xfId="2" applyNumberFormat="1" applyFont="1" applyBorder="1" applyAlignment="1">
      <alignment horizontal="center" vertical="center"/>
    </xf>
    <xf numFmtId="10" fontId="3" fillId="0" borderId="8" xfId="0" applyNumberFormat="1" applyFont="1" applyBorder="1" applyAlignment="1">
      <alignment horizontal="center" vertical="center"/>
    </xf>
    <xf numFmtId="0" fontId="4" fillId="6" borderId="6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2" fillId="9" borderId="3" xfId="0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9" fontId="13" fillId="0" borderId="3" xfId="2" applyFont="1" applyBorder="1" applyAlignment="1">
      <alignment horizontal="center" vertical="center"/>
    </xf>
    <xf numFmtId="10" fontId="13" fillId="0" borderId="3" xfId="2" applyNumberFormat="1" applyFont="1" applyBorder="1" applyAlignment="1">
      <alignment horizontal="center" vertical="center"/>
    </xf>
    <xf numFmtId="10" fontId="4" fillId="11" borderId="3" xfId="2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2" fillId="15" borderId="3" xfId="0" applyFont="1" applyFill="1" applyBorder="1" applyAlignment="1">
      <alignment horizontal="center" vertical="center" wrapText="1"/>
    </xf>
    <xf numFmtId="0" fontId="4" fillId="14" borderId="6" xfId="0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9" fontId="3" fillId="0" borderId="6" xfId="2" applyFont="1" applyBorder="1" applyAlignment="1">
      <alignment horizontal="center" vertical="center" wrapText="1"/>
    </xf>
    <xf numFmtId="10" fontId="3" fillId="0" borderId="6" xfId="0" applyNumberFormat="1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9" fontId="3" fillId="0" borderId="7" xfId="2" applyFont="1" applyBorder="1" applyAlignment="1">
      <alignment horizontal="center" vertical="center" wrapText="1"/>
    </xf>
    <xf numFmtId="10" fontId="3" fillId="0" borderId="7" xfId="0" applyNumberFormat="1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9" fontId="3" fillId="0" borderId="8" xfId="2" applyFont="1" applyBorder="1" applyAlignment="1">
      <alignment horizontal="center" vertical="center" wrapText="1"/>
    </xf>
    <xf numFmtId="10" fontId="3" fillId="0" borderId="8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9" fontId="2" fillId="0" borderId="3" xfId="2" applyFont="1" applyBorder="1" applyAlignment="1">
      <alignment horizontal="center" vertical="center" wrapText="1"/>
    </xf>
    <xf numFmtId="0" fontId="4" fillId="6" borderId="3" xfId="0" applyFont="1" applyFill="1" applyBorder="1" applyAlignment="1">
      <alignment horizontal="center" vertical="center" wrapText="1"/>
    </xf>
    <xf numFmtId="2" fontId="2" fillId="0" borderId="3" xfId="0" applyNumberFormat="1" applyFont="1" applyBorder="1" applyAlignment="1">
      <alignment horizontal="center" vertical="center" wrapText="1"/>
    </xf>
    <xf numFmtId="0" fontId="4" fillId="14" borderId="3" xfId="0" applyFont="1" applyFill="1" applyBorder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2" fontId="14" fillId="13" borderId="3" xfId="0" applyNumberFormat="1" applyFont="1" applyFill="1" applyBorder="1" applyAlignment="1">
      <alignment horizontal="center" vertical="center" wrapText="1"/>
    </xf>
    <xf numFmtId="9" fontId="3" fillId="0" borderId="0" xfId="2" applyFont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2" fontId="3" fillId="0" borderId="3" xfId="0" applyNumberFormat="1" applyFont="1" applyBorder="1" applyAlignment="1">
      <alignment horizontal="center" vertical="center" wrapText="1"/>
    </xf>
    <xf numFmtId="9" fontId="2" fillId="0" borderId="0" xfId="2" applyFont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9" fontId="5" fillId="5" borderId="3" xfId="0" applyNumberFormat="1" applyFont="1" applyFill="1" applyBorder="1" applyAlignment="1">
      <alignment horizontal="center" vertical="center" wrapText="1"/>
    </xf>
    <xf numFmtId="0" fontId="15" fillId="6" borderId="3" xfId="0" applyFont="1" applyFill="1" applyBorder="1" applyAlignment="1">
      <alignment horizontal="center" vertical="center" wrapText="1"/>
    </xf>
    <xf numFmtId="2" fontId="3" fillId="0" borderId="6" xfId="0" applyNumberFormat="1" applyFont="1" applyBorder="1" applyAlignment="1">
      <alignment horizontal="center" vertical="center" wrapText="1"/>
    </xf>
    <xf numFmtId="2" fontId="3" fillId="0" borderId="7" xfId="0" applyNumberFormat="1" applyFont="1" applyBorder="1" applyAlignment="1">
      <alignment horizontal="center" vertical="center" wrapText="1"/>
    </xf>
    <xf numFmtId="2" fontId="3" fillId="0" borderId="8" xfId="0" applyNumberFormat="1" applyFont="1" applyBorder="1" applyAlignment="1">
      <alignment horizontal="center" vertical="center" wrapText="1"/>
    </xf>
    <xf numFmtId="2" fontId="11" fillId="6" borderId="3" xfId="2" applyNumberFormat="1" applyFont="1" applyFill="1" applyBorder="1" applyAlignment="1">
      <alignment horizontal="center" vertical="center" wrapText="1"/>
    </xf>
    <xf numFmtId="2" fontId="11" fillId="3" borderId="3" xfId="2" applyNumberFormat="1" applyFont="1" applyFill="1" applyBorder="1" applyAlignment="1">
      <alignment horizontal="center" vertical="center" wrapText="1"/>
    </xf>
    <xf numFmtId="2" fontId="11" fillId="14" borderId="3" xfId="2" applyNumberFormat="1" applyFont="1" applyFill="1" applyBorder="1" applyAlignment="1">
      <alignment horizontal="center" vertical="center" wrapText="1"/>
    </xf>
    <xf numFmtId="2" fontId="3" fillId="0" borderId="3" xfId="2" applyNumberFormat="1" applyFont="1" applyBorder="1" applyAlignment="1">
      <alignment horizontal="center" vertical="center" wrapText="1"/>
    </xf>
    <xf numFmtId="2" fontId="8" fillId="0" borderId="3" xfId="2" applyNumberFormat="1" applyFont="1" applyBorder="1" applyAlignment="1">
      <alignment horizontal="center" vertical="center" wrapText="1"/>
    </xf>
    <xf numFmtId="9" fontId="3" fillId="0" borderId="11" xfId="2" applyFont="1" applyBorder="1" applyAlignment="1">
      <alignment horizontal="center" vertical="center" wrapText="1"/>
    </xf>
    <xf numFmtId="9" fontId="3" fillId="0" borderId="12" xfId="2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2" fontId="3" fillId="0" borderId="3" xfId="1" applyNumberFormat="1" applyFont="1" applyBorder="1" applyAlignment="1">
      <alignment horizontal="center" vertical="center" wrapText="1"/>
    </xf>
    <xf numFmtId="2" fontId="11" fillId="3" borderId="3" xfId="1" applyNumberFormat="1" applyFont="1" applyFill="1" applyBorder="1" applyAlignment="1">
      <alignment horizontal="center" vertical="center" wrapText="1"/>
    </xf>
    <xf numFmtId="2" fontId="11" fillId="6" borderId="3" xfId="1" applyNumberFormat="1" applyFont="1" applyFill="1" applyBorder="1" applyAlignment="1">
      <alignment horizontal="center" vertical="center" wrapText="1"/>
    </xf>
    <xf numFmtId="2" fontId="11" fillId="14" borderId="3" xfId="1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6" fontId="3" fillId="0" borderId="0" xfId="0" applyNumberFormat="1" applyFont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1" xfId="0" applyBorder="1"/>
    <xf numFmtId="0" fontId="0" fillId="0" borderId="2" xfId="0" applyBorder="1"/>
    <xf numFmtId="0" fontId="7" fillId="4" borderId="3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9" fillId="8" borderId="3" xfId="0" applyFont="1" applyFill="1" applyBorder="1" applyAlignment="1">
      <alignment horizontal="center" vertical="center" wrapText="1"/>
    </xf>
    <xf numFmtId="0" fontId="9" fillId="8" borderId="0" xfId="0" applyFont="1" applyFill="1" applyAlignment="1">
      <alignment horizontal="center" vertical="center" wrapText="1"/>
    </xf>
    <xf numFmtId="0" fontId="9" fillId="14" borderId="3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 wrapText="1"/>
    </xf>
    <xf numFmtId="0" fontId="0" fillId="14" borderId="2" xfId="0" applyFill="1" applyBorder="1" applyAlignment="1">
      <alignment horizontal="center" vertical="center" wrapText="1"/>
    </xf>
    <xf numFmtId="0" fontId="10" fillId="2" borderId="10" xfId="0" applyFont="1" applyFill="1" applyBorder="1" applyAlignment="1">
      <alignment horizontal="center" vertical="center" wrapText="1"/>
    </xf>
    <xf numFmtId="0" fontId="10" fillId="2" borderId="9" xfId="0" applyFont="1" applyFill="1" applyBorder="1" applyAlignment="1">
      <alignment horizontal="center" vertical="center" wrapText="1"/>
    </xf>
    <xf numFmtId="0" fontId="13" fillId="10" borderId="3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4" fillId="12" borderId="3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12" fillId="2" borderId="0" xfId="0" applyFont="1" applyFill="1" applyAlignment="1">
      <alignment horizontal="center" vertical="center" wrapText="1"/>
    </xf>
    <xf numFmtId="0" fontId="9" fillId="8" borderId="3" xfId="0" applyFont="1" applyFill="1" applyBorder="1" applyAlignment="1">
      <alignment horizontal="center" vertical="center"/>
    </xf>
    <xf numFmtId="0" fontId="16" fillId="0" borderId="3" xfId="0" applyFont="1" applyBorder="1" applyAlignment="1">
      <alignment horizontal="center" vertical="center" wrapText="1"/>
    </xf>
    <xf numFmtId="0" fontId="17" fillId="6" borderId="3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8" fillId="14" borderId="3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9" fillId="6" borderId="3" xfId="0" applyFont="1" applyFill="1" applyBorder="1" applyAlignment="1">
      <alignment horizontal="center" vertical="center" wrapText="1"/>
    </xf>
    <xf numFmtId="0" fontId="20" fillId="0" borderId="3" xfId="0" applyFont="1" applyBorder="1" applyAlignment="1">
      <alignment horizontal="center" vertical="center" wrapText="1"/>
    </xf>
    <xf numFmtId="9" fontId="16" fillId="0" borderId="3" xfId="0" applyNumberFormat="1" applyFont="1" applyBorder="1" applyAlignment="1">
      <alignment horizontal="center" vertical="center" wrapText="1"/>
    </xf>
    <xf numFmtId="0" fontId="21" fillId="7" borderId="3" xfId="0" applyFont="1" applyFill="1" applyBorder="1" applyAlignment="1">
      <alignment horizontal="center" vertical="center" wrapText="1"/>
    </xf>
    <xf numFmtId="2" fontId="16" fillId="0" borderId="3" xfId="0" applyNumberFormat="1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/>
    </xf>
    <xf numFmtId="9" fontId="16" fillId="0" borderId="3" xfId="2" applyFont="1" applyBorder="1" applyAlignment="1">
      <alignment horizontal="center" vertical="center" wrapText="1"/>
    </xf>
    <xf numFmtId="10" fontId="16" fillId="0" borderId="3" xfId="0" applyNumberFormat="1" applyFont="1" applyBorder="1" applyAlignment="1">
      <alignment horizontal="center" vertical="center" wrapText="1"/>
    </xf>
    <xf numFmtId="0" fontId="21" fillId="0" borderId="3" xfId="0" applyFont="1" applyBorder="1" applyAlignment="1">
      <alignment horizontal="center" vertical="center" wrapText="1"/>
    </xf>
    <xf numFmtId="9" fontId="21" fillId="0" borderId="3" xfId="2" applyFont="1" applyBorder="1" applyAlignment="1">
      <alignment horizontal="center" vertical="center" wrapText="1"/>
    </xf>
    <xf numFmtId="0" fontId="22" fillId="6" borderId="3" xfId="2" applyNumberFormat="1" applyFont="1" applyFill="1" applyBorder="1" applyAlignment="1">
      <alignment horizontal="center" vertical="center"/>
    </xf>
    <xf numFmtId="2" fontId="21" fillId="0" borderId="3" xfId="0" applyNumberFormat="1" applyFont="1" applyBorder="1" applyAlignment="1">
      <alignment horizontal="center" vertical="center" wrapText="1"/>
    </xf>
    <xf numFmtId="9" fontId="16" fillId="0" borderId="0" xfId="0" applyNumberFormat="1" applyFont="1" applyAlignment="1">
      <alignment horizontal="center" vertical="center" wrapText="1"/>
    </xf>
    <xf numFmtId="0" fontId="23" fillId="2" borderId="10" xfId="0" applyFont="1" applyFill="1" applyBorder="1" applyAlignment="1">
      <alignment horizontal="center" vertical="center" wrapText="1"/>
    </xf>
    <xf numFmtId="0" fontId="23" fillId="2" borderId="9" xfId="0" applyFont="1" applyFill="1" applyBorder="1" applyAlignment="1">
      <alignment horizontal="center" vertical="center" wrapText="1"/>
    </xf>
    <xf numFmtId="0" fontId="24" fillId="2" borderId="9" xfId="0" applyFont="1" applyFill="1" applyBorder="1" applyAlignment="1">
      <alignment horizontal="center" vertical="center" wrapText="1"/>
    </xf>
    <xf numFmtId="0" fontId="19" fillId="8" borderId="3" xfId="0" applyFont="1" applyFill="1" applyBorder="1" applyAlignment="1">
      <alignment horizontal="center" vertical="center" wrapText="1"/>
    </xf>
    <xf numFmtId="0" fontId="17" fillId="14" borderId="3" xfId="0" applyFont="1" applyFill="1" applyBorder="1" applyAlignment="1">
      <alignment horizontal="center" vertical="center" wrapText="1"/>
    </xf>
    <xf numFmtId="0" fontId="17" fillId="3" borderId="4" xfId="0" applyFont="1" applyFill="1" applyBorder="1" applyAlignment="1">
      <alignment horizontal="center" vertical="center" wrapText="1"/>
    </xf>
    <xf numFmtId="0" fontId="21" fillId="9" borderId="3" xfId="0" applyFont="1" applyFill="1" applyBorder="1" applyAlignment="1">
      <alignment horizontal="center" vertical="center" wrapText="1"/>
    </xf>
    <xf numFmtId="2" fontId="16" fillId="0" borderId="3" xfId="1" applyNumberFormat="1" applyFont="1" applyBorder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2" fontId="22" fillId="6" borderId="3" xfId="1" applyNumberFormat="1" applyFont="1" applyFill="1" applyBorder="1" applyAlignment="1">
      <alignment horizontal="center" vertical="center" wrapText="1"/>
    </xf>
    <xf numFmtId="2" fontId="22" fillId="3" borderId="3" xfId="1" applyNumberFormat="1" applyFont="1" applyFill="1" applyBorder="1" applyAlignment="1">
      <alignment horizontal="center" vertical="center" wrapText="1"/>
    </xf>
    <xf numFmtId="0" fontId="22" fillId="3" borderId="3" xfId="2" applyNumberFormat="1" applyFont="1" applyFill="1" applyBorder="1" applyAlignment="1">
      <alignment horizontal="center" vertical="center" wrapText="1"/>
    </xf>
    <xf numFmtId="0" fontId="19" fillId="14" borderId="3" xfId="0" applyFont="1" applyFill="1" applyBorder="1" applyAlignment="1">
      <alignment horizontal="center" vertical="center" wrapText="1"/>
    </xf>
    <xf numFmtId="0" fontId="20" fillId="14" borderId="3" xfId="0" applyFont="1" applyFill="1" applyBorder="1" applyAlignment="1">
      <alignment horizontal="center" vertical="center" wrapText="1"/>
    </xf>
    <xf numFmtId="0" fontId="21" fillId="15" borderId="3" xfId="0" applyFont="1" applyFill="1" applyBorder="1" applyAlignment="1">
      <alignment horizontal="center" vertical="center" wrapText="1"/>
    </xf>
    <xf numFmtId="0" fontId="22" fillId="14" borderId="3" xfId="2" applyNumberFormat="1" applyFont="1" applyFill="1" applyBorder="1" applyAlignment="1">
      <alignment horizontal="center" vertical="center" wrapText="1"/>
    </xf>
    <xf numFmtId="0" fontId="25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 wrapText="1"/>
    </xf>
    <xf numFmtId="0" fontId="27" fillId="4" borderId="3" xfId="0" applyFont="1" applyFill="1" applyBorder="1" applyAlignment="1">
      <alignment horizontal="center" vertical="center" wrapText="1"/>
    </xf>
    <xf numFmtId="0" fontId="27" fillId="4" borderId="4" xfId="0" applyFont="1" applyFill="1" applyBorder="1" applyAlignment="1">
      <alignment horizontal="center" vertical="center" wrapText="1"/>
    </xf>
    <xf numFmtId="0" fontId="20" fillId="0" borderId="5" xfId="0" applyFont="1" applyBorder="1" applyAlignment="1">
      <alignment horizontal="center" vertical="center" wrapText="1"/>
    </xf>
    <xf numFmtId="0" fontId="27" fillId="4" borderId="5" xfId="0" applyFont="1" applyFill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 wrapText="1"/>
    </xf>
    <xf numFmtId="9" fontId="25" fillId="5" borderId="3" xfId="0" applyNumberFormat="1" applyFont="1" applyFill="1" applyBorder="1" applyAlignment="1">
      <alignment horizontal="center" vertical="center" wrapText="1"/>
    </xf>
    <xf numFmtId="0" fontId="28" fillId="6" borderId="3" xfId="0" applyFont="1" applyFill="1" applyBorder="1" applyAlignment="1">
      <alignment horizontal="center" vertical="center" wrapText="1"/>
    </xf>
    <xf numFmtId="0" fontId="28" fillId="3" borderId="3" xfId="0" applyFont="1" applyFill="1" applyBorder="1" applyAlignment="1">
      <alignment horizontal="center" vertical="center" wrapText="1"/>
    </xf>
    <xf numFmtId="0" fontId="28" fillId="14" borderId="3" xfId="0" applyFont="1" applyFill="1" applyBorder="1" applyAlignment="1">
      <alignment horizontal="center" vertical="center" wrapText="1"/>
    </xf>
    <xf numFmtId="2" fontId="16" fillId="0" borderId="3" xfId="0" applyNumberFormat="1" applyFont="1" applyFill="1" applyBorder="1" applyAlignment="1">
      <alignment horizontal="center" vertical="center" wrapText="1"/>
    </xf>
  </cellXfs>
  <cellStyles count="4">
    <cellStyle name="Comma" xfId="1" builtinId="3"/>
    <cellStyle name="Normal" xfId="0" builtinId="0"/>
    <cellStyle name="Percent" xfId="2" builtinId="5"/>
    <cellStyle name="Percent 2" xfId="3" xr:uid="{00000000-0005-0000-0000-000003000000}"/>
  </cellStyles>
  <dxfs count="8">
    <dxf>
      <font>
        <color rgb="FFF8FBB7"/>
      </font>
      <fill>
        <patternFill>
          <bgColor rgb="FFF8FBB7"/>
        </patternFill>
      </fill>
    </dxf>
    <dxf>
      <font>
        <color rgb="FFF8FBB7"/>
      </font>
      <fill>
        <patternFill>
          <bgColor rgb="FFF8FBB7"/>
        </patternFill>
      </fill>
    </dxf>
    <dxf>
      <font>
        <color rgb="FFC1F0C8"/>
      </font>
      <fill>
        <patternFill>
          <bgColor rgb="FFC1F0C8"/>
        </patternFill>
      </fill>
    </dxf>
    <dxf>
      <font>
        <color rgb="FFF7C7AC"/>
      </font>
      <fill>
        <patternFill>
          <bgColor rgb="FFF7C7AC"/>
        </patternFill>
      </fill>
    </dxf>
    <dxf>
      <font>
        <color rgb="FFF8FBB7"/>
      </font>
      <fill>
        <patternFill>
          <bgColor rgb="FFF8FBB7"/>
        </patternFill>
      </fill>
    </dxf>
    <dxf>
      <font>
        <color rgb="FFF8FBB7"/>
      </font>
      <fill>
        <patternFill>
          <bgColor rgb="FFF8FBB7"/>
        </patternFill>
      </fill>
    </dxf>
    <dxf>
      <font>
        <color rgb="FFC1F0C8"/>
      </font>
      <fill>
        <patternFill>
          <bgColor rgb="FFC1F0C8"/>
        </patternFill>
      </fill>
    </dxf>
    <dxf>
      <font>
        <color rgb="FFF7C7AC"/>
      </font>
      <fill>
        <patternFill>
          <bgColor rgb="FFF7C7A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Tier wise Score Distribution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% Obs (Val Sample)</c:v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'10 Tier Results (2)'!$L$22:$L$31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'10 Tier Results (2)'!$D$4:$D$13</c:f>
              <c:numCache>
                <c:formatCode>0%</c:formatCode>
                <c:ptCount val="10"/>
                <c:pt idx="0">
                  <c:v>9.3208370779304148E-2</c:v>
                </c:pt>
                <c:pt idx="1">
                  <c:v>0.10373603800231095</c:v>
                </c:pt>
                <c:pt idx="2">
                  <c:v>9.8215432019514701E-2</c:v>
                </c:pt>
                <c:pt idx="3">
                  <c:v>0.10754482817648821</c:v>
                </c:pt>
                <c:pt idx="4">
                  <c:v>9.521975435443146E-2</c:v>
                </c:pt>
                <c:pt idx="5">
                  <c:v>0.10454915051140497</c:v>
                </c:pt>
                <c:pt idx="6">
                  <c:v>9.6632002396542127E-2</c:v>
                </c:pt>
                <c:pt idx="7">
                  <c:v>9.9584884666409898E-2</c:v>
                </c:pt>
                <c:pt idx="8">
                  <c:v>9.9542089271194414E-2</c:v>
                </c:pt>
                <c:pt idx="9">
                  <c:v>0.1017674498223991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29-49BC-9C9D-615000C0426F}"/>
            </c:ext>
          </c:extLst>
        </c:ser>
        <c:ser>
          <c:idx val="1"/>
          <c:order val="1"/>
          <c:tx>
            <c:v>% Obs (Monitoring Sample)</c:v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'10 Tier Results (2)'!$L$22:$L$31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'10 Tier Results (2)'!$O$4:$O$13</c:f>
              <c:numCache>
                <c:formatCode>0%</c:formatCode>
                <c:ptCount val="10"/>
                <c:pt idx="0">
                  <c:v>0.10000998103603154</c:v>
                </c:pt>
                <c:pt idx="1">
                  <c:v>0.10000998103603154</c:v>
                </c:pt>
                <c:pt idx="2">
                  <c:v>0.10000998103603154</c:v>
                </c:pt>
                <c:pt idx="3">
                  <c:v>0.10000998103603154</c:v>
                </c:pt>
                <c:pt idx="4">
                  <c:v>0.10000998103603154</c:v>
                </c:pt>
                <c:pt idx="5">
                  <c:v>0.10000998103603154</c:v>
                </c:pt>
                <c:pt idx="6">
                  <c:v>9.9910170675716142E-2</c:v>
                </c:pt>
                <c:pt idx="7">
                  <c:v>0.10000998103603154</c:v>
                </c:pt>
                <c:pt idx="8">
                  <c:v>0.10000998103603154</c:v>
                </c:pt>
                <c:pt idx="9">
                  <c:v>0.10000998103603154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129-49BC-9C9D-615000C0426F}"/>
            </c:ext>
          </c:extLst>
        </c:ser>
        <c:ser>
          <c:idx val="2"/>
          <c:order val="2"/>
          <c:tx>
            <c:v>% Obs (OOT Sample)</c:v>
          </c:tx>
          <c:invertIfNegative val="0"/>
          <c:cat>
            <c:numRef>
              <c:f>'10 Tier Results (2)'!$L$22:$L$31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'10 Tier Results (2)'!$Z$4:$Z$13</c:f>
              <c:numCache>
                <c:formatCode>0%</c:formatCode>
                <c:ptCount val="10"/>
                <c:pt idx="0">
                  <c:v>0.10432387112229009</c:v>
                </c:pt>
                <c:pt idx="1">
                  <c:v>9.7137381722361957E-2</c:v>
                </c:pt>
                <c:pt idx="2">
                  <c:v>9.2106839142412258E-2</c:v>
                </c:pt>
                <c:pt idx="3">
                  <c:v>0.1097137381722362</c:v>
                </c:pt>
                <c:pt idx="4">
                  <c:v>9.2585938435740811E-2</c:v>
                </c:pt>
                <c:pt idx="5">
                  <c:v>0.11115103605222182</c:v>
                </c:pt>
                <c:pt idx="6">
                  <c:v>9.4622110432387108E-2</c:v>
                </c:pt>
                <c:pt idx="7">
                  <c:v>0.10073062642232603</c:v>
                </c:pt>
                <c:pt idx="8">
                  <c:v>0.10204814947897951</c:v>
                </c:pt>
                <c:pt idx="9">
                  <c:v>9.5580309019044199E-2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129-49BC-9C9D-615000C04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68052303"/>
        <c:axId val="1279202895"/>
      </c:barChart>
      <c:catAx>
        <c:axId val="6680523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9202895"/>
        <c:crosses val="autoZero"/>
        <c:auto val="1"/>
        <c:lblAlgn val="ctr"/>
        <c:lblOffset val="100"/>
        <c:noMultiLvlLbl val="0"/>
      </c:catAx>
      <c:valAx>
        <c:axId val="1279202895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8052303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Tier wise Score Distribution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% Obs (Val Sample)</c:v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'10 Tier Results'!$M$21:$M$30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'10 Tier Results'!$D$4:$D$13</c:f>
              <c:numCache>
                <c:formatCode>0%</c:formatCode>
                <c:ptCount val="10"/>
                <c:pt idx="0">
                  <c:v>0.10094329949759048</c:v>
                </c:pt>
                <c:pt idx="1">
                  <c:v>0.10248128780887931</c:v>
                </c:pt>
                <c:pt idx="2">
                  <c:v>9.9046447247000929E-2</c:v>
                </c:pt>
                <c:pt idx="3">
                  <c:v>9.9302778632215732E-2</c:v>
                </c:pt>
                <c:pt idx="4">
                  <c:v>0.10125089715984825</c:v>
                </c:pt>
                <c:pt idx="5">
                  <c:v>0.10109709832871937</c:v>
                </c:pt>
                <c:pt idx="6">
                  <c:v>9.6688198503024708E-2</c:v>
                </c:pt>
                <c:pt idx="7">
                  <c:v>0.1005331692812468</c:v>
                </c:pt>
                <c:pt idx="8">
                  <c:v>0.10043063672716088</c:v>
                </c:pt>
                <c:pt idx="9">
                  <c:v>9.822618681431354E-2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35-476C-B684-2A380FD52B1B}"/>
            </c:ext>
          </c:extLst>
        </c:ser>
        <c:ser>
          <c:idx val="1"/>
          <c:order val="1"/>
          <c:tx>
            <c:v>% Obs (Monitoring Sample)</c:v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'10 Tier Results'!$M$21:$M$30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'10 Tier Results'!$O$4:$O$13</c:f>
              <c:numCache>
                <c:formatCode>0%</c:formatCode>
                <c:ptCount val="10"/>
                <c:pt idx="0">
                  <c:v>2.7550016398819287E-2</c:v>
                </c:pt>
                <c:pt idx="1">
                  <c:v>8.5929813053460147E-2</c:v>
                </c:pt>
                <c:pt idx="2">
                  <c:v>0.11052804198097738</c:v>
                </c:pt>
                <c:pt idx="3">
                  <c:v>9.4129222695965895E-2</c:v>
                </c:pt>
                <c:pt idx="4">
                  <c:v>0.1075762545096753</c:v>
                </c:pt>
                <c:pt idx="5">
                  <c:v>0.12266316825188586</c:v>
                </c:pt>
                <c:pt idx="6">
                  <c:v>0.1275828140373893</c:v>
                </c:pt>
                <c:pt idx="7">
                  <c:v>0.14988520826500493</c:v>
                </c:pt>
                <c:pt idx="8">
                  <c:v>0.12889471958019022</c:v>
                </c:pt>
                <c:pt idx="9">
                  <c:v>4.5260741226631686E-2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35-476C-B684-2A380FD52B1B}"/>
            </c:ext>
          </c:extLst>
        </c:ser>
        <c:ser>
          <c:idx val="2"/>
          <c:order val="2"/>
          <c:tx>
            <c:v>% Obs (OOT Sample)</c:v>
          </c:tx>
          <c:invertIfNegative val="0"/>
          <c:cat>
            <c:numRef>
              <c:f>'10 Tier Results'!$M$21:$M$30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'10 Tier Results'!$AD$4:$AD$13</c:f>
              <c:numCache>
                <c:formatCode>0%</c:formatCode>
                <c:ptCount val="10"/>
                <c:pt idx="0">
                  <c:v>0.10094329949759048</c:v>
                </c:pt>
                <c:pt idx="1">
                  <c:v>0.10248128780887931</c:v>
                </c:pt>
                <c:pt idx="2">
                  <c:v>9.9046447247000929E-2</c:v>
                </c:pt>
                <c:pt idx="3">
                  <c:v>9.9302778632215732E-2</c:v>
                </c:pt>
                <c:pt idx="4">
                  <c:v>0.10125089715984825</c:v>
                </c:pt>
                <c:pt idx="5">
                  <c:v>0.10109709832871937</c:v>
                </c:pt>
                <c:pt idx="6">
                  <c:v>9.6688198503024708E-2</c:v>
                </c:pt>
                <c:pt idx="7">
                  <c:v>0.1005331692812468</c:v>
                </c:pt>
                <c:pt idx="8">
                  <c:v>0.10043063672716088</c:v>
                </c:pt>
                <c:pt idx="9">
                  <c:v>9.822618681431354E-2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017-42B4-9F80-ACB0D4BE26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68052303"/>
        <c:axId val="1279202895"/>
      </c:barChart>
      <c:catAx>
        <c:axId val="6680523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9202895"/>
        <c:crosses val="autoZero"/>
        <c:auto val="1"/>
        <c:lblAlgn val="ctr"/>
        <c:lblOffset val="100"/>
        <c:noMultiLvlLbl val="0"/>
      </c:catAx>
      <c:valAx>
        <c:axId val="1279202895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8052303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558802</xdr:colOff>
      <xdr:row>19</xdr:row>
      <xdr:rowOff>127002</xdr:rowOff>
    </xdr:from>
    <xdr:to>
      <xdr:col>8</xdr:col>
      <xdr:colOff>330201</xdr:colOff>
      <xdr:row>31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021CB3C-3D2D-4ECB-9DFF-30DAD70C3D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177802</xdr:colOff>
      <xdr:row>33</xdr:row>
      <xdr:rowOff>8468</xdr:rowOff>
    </xdr:from>
    <xdr:to>
      <xdr:col>15</xdr:col>
      <xdr:colOff>186267</xdr:colOff>
      <xdr:row>46</xdr:row>
      <xdr:rowOff>67733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0B4D7-80AC-4B50-BF8A-95C61A44DEB4}">
  <dimension ref="B2:AG69"/>
  <sheetViews>
    <sheetView showGridLines="0" topLeftCell="B3" zoomScale="82" zoomScaleNormal="90" workbookViewId="0">
      <selection activeCell="I14" sqref="I14"/>
    </sheetView>
  </sheetViews>
  <sheetFormatPr defaultColWidth="8.88671875" defaultRowHeight="17.399999999999999" x14ac:dyDescent="0.3"/>
  <cols>
    <col min="1" max="1" width="9.21875" style="103" customWidth="1"/>
    <col min="2" max="2" width="8.44140625" style="103" customWidth="1"/>
    <col min="3" max="3" width="8.6640625" style="103" customWidth="1"/>
    <col min="4" max="4" width="8.77734375" style="103" customWidth="1"/>
    <col min="5" max="5" width="8.21875" style="103" customWidth="1"/>
    <col min="6" max="7" width="9.88671875" style="103" customWidth="1"/>
    <col min="8" max="8" width="7.21875" style="103" bestFit="1" customWidth="1"/>
    <col min="9" max="9" width="9.6640625" style="103" customWidth="1"/>
    <col min="10" max="10" width="7.44140625" style="103" customWidth="1"/>
    <col min="11" max="11" width="8.21875" style="103" customWidth="1"/>
    <col min="12" max="12" width="8.77734375" style="103" customWidth="1"/>
    <col min="13" max="13" width="8.21875" style="103" bestFit="1" customWidth="1"/>
    <col min="14" max="14" width="8.5546875" style="103" bestFit="1" customWidth="1"/>
    <col min="15" max="15" width="9" style="103" bestFit="1" customWidth="1"/>
    <col min="16" max="16" width="8.88671875" style="103"/>
    <col min="17" max="17" width="8.5546875" style="103" customWidth="1"/>
    <col min="18" max="18" width="10.33203125" style="103" customWidth="1"/>
    <col min="19" max="19" width="10.21875" style="103" customWidth="1"/>
    <col min="20" max="20" width="9" style="103" customWidth="1"/>
    <col min="21" max="21" width="8.109375" style="103" customWidth="1"/>
    <col min="22" max="28" width="8.88671875" style="103"/>
    <col min="29" max="29" width="10.6640625" style="103" customWidth="1"/>
    <col min="30" max="16384" width="8.88671875" style="103"/>
  </cols>
  <sheetData>
    <row r="2" spans="2:33" ht="36" customHeight="1" x14ac:dyDescent="0.3">
      <c r="B2" s="104" t="s">
        <v>51</v>
      </c>
      <c r="C2" s="105"/>
      <c r="D2" s="105"/>
      <c r="E2" s="105"/>
      <c r="F2" s="105"/>
      <c r="G2" s="105"/>
      <c r="H2" s="105"/>
      <c r="I2" s="105"/>
      <c r="J2" s="105"/>
      <c r="K2" s="105"/>
      <c r="M2" s="120" t="s">
        <v>52</v>
      </c>
      <c r="N2" s="105"/>
      <c r="O2" s="105"/>
      <c r="P2" s="105"/>
      <c r="Q2" s="105"/>
      <c r="R2" s="105"/>
      <c r="S2" s="105"/>
      <c r="T2" s="105"/>
      <c r="U2" s="105"/>
      <c r="V2" s="105"/>
      <c r="X2" s="130" t="s">
        <v>53</v>
      </c>
      <c r="Y2" s="131"/>
      <c r="Z2" s="131"/>
      <c r="AA2" s="131"/>
      <c r="AB2" s="131"/>
      <c r="AC2" s="131"/>
      <c r="AD2" s="131"/>
      <c r="AE2" s="131"/>
      <c r="AF2" s="131"/>
      <c r="AG2" s="131"/>
    </row>
    <row r="3" spans="2:33" ht="34.799999999999997" x14ac:dyDescent="0.3">
      <c r="B3" s="107" t="s">
        <v>3</v>
      </c>
      <c r="C3" s="107" t="s">
        <v>4</v>
      </c>
      <c r="D3" s="107" t="s">
        <v>5</v>
      </c>
      <c r="E3" s="107" t="s">
        <v>6</v>
      </c>
      <c r="F3" s="107" t="s">
        <v>7</v>
      </c>
      <c r="G3" s="107" t="s">
        <v>8</v>
      </c>
      <c r="H3" s="107" t="s">
        <v>9</v>
      </c>
      <c r="I3" s="107" t="s">
        <v>10</v>
      </c>
      <c r="J3" s="107" t="s">
        <v>11</v>
      </c>
      <c r="K3" s="107" t="s">
        <v>12</v>
      </c>
      <c r="M3" s="123" t="s">
        <v>3</v>
      </c>
      <c r="N3" s="123" t="s">
        <v>4</v>
      </c>
      <c r="O3" s="123" t="s">
        <v>5</v>
      </c>
      <c r="P3" s="123" t="s">
        <v>6</v>
      </c>
      <c r="Q3" s="123" t="s">
        <v>7</v>
      </c>
      <c r="R3" s="123" t="s">
        <v>8</v>
      </c>
      <c r="S3" s="123" t="s">
        <v>9</v>
      </c>
      <c r="T3" s="123" t="s">
        <v>10</v>
      </c>
      <c r="U3" s="123" t="s">
        <v>11</v>
      </c>
      <c r="V3" s="123" t="s">
        <v>12</v>
      </c>
      <c r="X3" s="132" t="s">
        <v>3</v>
      </c>
      <c r="Y3" s="132" t="s">
        <v>4</v>
      </c>
      <c r="Z3" s="132" t="s">
        <v>5</v>
      </c>
      <c r="AA3" s="132" t="s">
        <v>6</v>
      </c>
      <c r="AB3" s="132" t="s">
        <v>7</v>
      </c>
      <c r="AC3" s="132" t="s">
        <v>8</v>
      </c>
      <c r="AD3" s="132" t="s">
        <v>9</v>
      </c>
      <c r="AE3" s="132" t="s">
        <v>10</v>
      </c>
      <c r="AF3" s="132" t="s">
        <v>11</v>
      </c>
      <c r="AG3" s="132" t="s">
        <v>12</v>
      </c>
    </row>
    <row r="4" spans="2:33" ht="22.8" customHeight="1" x14ac:dyDescent="0.3">
      <c r="B4" s="99">
        <v>1</v>
      </c>
      <c r="C4" s="109">
        <v>2178</v>
      </c>
      <c r="D4" s="110">
        <f>C4/$C$14</f>
        <v>9.3208370779304148E-2</v>
      </c>
      <c r="E4" s="109">
        <v>58</v>
      </c>
      <c r="F4" s="99">
        <f t="shared" ref="F4:F13" si="0">C4-E4</f>
        <v>2120</v>
      </c>
      <c r="G4" s="110">
        <f t="shared" ref="G4:G13" si="1">E4/C4</f>
        <v>2.6629935720844811E-2</v>
      </c>
      <c r="H4" s="110">
        <f>E4/$E$14</f>
        <v>1.5553767766157146E-2</v>
      </c>
      <c r="I4" s="110">
        <f>F4/$F$14</f>
        <v>0.10795396679906304</v>
      </c>
      <c r="J4" s="111">
        <f t="shared" ref="J4:J13" si="2">ABS(I4-H4)</f>
        <v>9.2400199032905889E-2</v>
      </c>
      <c r="K4" s="108">
        <f>H4*I4*0.5</f>
        <v>8.3954546451403273E-4</v>
      </c>
      <c r="M4" s="99">
        <v>1</v>
      </c>
      <c r="N4" s="109">
        <v>1002</v>
      </c>
      <c r="O4" s="110">
        <f>N4/$N$14</f>
        <v>0.10000998103603154</v>
      </c>
      <c r="P4" s="109">
        <v>39</v>
      </c>
      <c r="Q4" s="99">
        <f t="shared" ref="Q4:Q13" si="3">N4-P4</f>
        <v>963</v>
      </c>
      <c r="R4" s="110">
        <f t="shared" ref="R4:R13" si="4">P4/N4</f>
        <v>3.8922155688622756E-2</v>
      </c>
      <c r="S4" s="110">
        <f>P4/$P$14</f>
        <v>2.4390243902439025E-2</v>
      </c>
      <c r="T4" s="110">
        <f>Q4/$Q$14</f>
        <v>0.11437054631828979</v>
      </c>
      <c r="U4" s="111">
        <f t="shared" ref="U4:U13" si="5">ABS(T4-S4)</f>
        <v>8.9980302415850755E-2</v>
      </c>
      <c r="V4" s="108">
        <f>S4*T4*0.5</f>
        <v>1.3947627599791438E-3</v>
      </c>
      <c r="X4" s="99">
        <v>1</v>
      </c>
      <c r="Y4" s="109">
        <v>871</v>
      </c>
      <c r="Z4" s="110">
        <f>Y4/$Y$14</f>
        <v>0.10432387112229009</v>
      </c>
      <c r="AA4" s="109">
        <v>35</v>
      </c>
      <c r="AB4" s="99">
        <f t="shared" ref="AB4:AB13" si="6">Y4-AA4</f>
        <v>836</v>
      </c>
      <c r="AC4" s="110">
        <f>AA4/Y4</f>
        <v>4.0183696900114814E-2</v>
      </c>
      <c r="AD4" s="110">
        <f>AA4/$AA$14</f>
        <v>2.6276276276276277E-2</v>
      </c>
      <c r="AE4" s="110">
        <f>AB4/$AB$14</f>
        <v>0.11913923329058002</v>
      </c>
      <c r="AF4" s="111">
        <f t="shared" ref="AF4:AF13" si="7">ABS(AE4-AD4)</f>
        <v>9.2862957014303735E-2</v>
      </c>
      <c r="AG4" s="108">
        <f>AD4*AE4*0.5</f>
        <v>1.5652677046435063E-3</v>
      </c>
    </row>
    <row r="5" spans="2:33" x14ac:dyDescent="0.3">
      <c r="B5" s="99">
        <v>2</v>
      </c>
      <c r="C5" s="109">
        <v>2424</v>
      </c>
      <c r="D5" s="110">
        <f>C5/$C$14</f>
        <v>0.10373603800231095</v>
      </c>
      <c r="E5" s="109">
        <v>100</v>
      </c>
      <c r="F5" s="99">
        <f t="shared" si="0"/>
        <v>2324</v>
      </c>
      <c r="G5" s="110">
        <f t="shared" si="1"/>
        <v>4.1254125412541254E-2</v>
      </c>
      <c r="H5" s="110">
        <f>E5/$E$14+H4</f>
        <v>4.2370608742290157E-2</v>
      </c>
      <c r="I5" s="110">
        <f>F5/$F$14+I4</f>
        <v>0.22629595681841327</v>
      </c>
      <c r="J5" s="111">
        <f t="shared" si="2"/>
        <v>0.18392534807612312</v>
      </c>
      <c r="K5" s="108">
        <f>(H5-H4)*(I5+I4)*0.5</f>
        <v>4.481763523967233E-3</v>
      </c>
      <c r="M5" s="99">
        <v>2</v>
      </c>
      <c r="N5" s="109">
        <v>1002</v>
      </c>
      <c r="O5" s="110">
        <f>N5/$N$14</f>
        <v>0.10000998103603154</v>
      </c>
      <c r="P5" s="109">
        <v>66</v>
      </c>
      <c r="Q5" s="99">
        <f t="shared" si="3"/>
        <v>936</v>
      </c>
      <c r="R5" s="110">
        <f t="shared" si="4"/>
        <v>6.5868263473053898E-2</v>
      </c>
      <c r="S5" s="110">
        <f>P5/$P$14+S4</f>
        <v>6.5666041275797365E-2</v>
      </c>
      <c r="T5" s="110">
        <f>Q5/$Q$14+T4</f>
        <v>0.22553444180522564</v>
      </c>
      <c r="U5" s="111">
        <f t="shared" si="5"/>
        <v>0.15986840052942827</v>
      </c>
      <c r="V5" s="108">
        <f t="shared" ref="V5:V12" si="8">(S5-S4)*(T5+T4)*0.5</f>
        <v>7.0149247079899979E-3</v>
      </c>
      <c r="X5" s="99">
        <v>2</v>
      </c>
      <c r="Y5" s="109">
        <v>811</v>
      </c>
      <c r="Z5" s="110">
        <f>Y5/$Y$14</f>
        <v>9.7137381722361957E-2</v>
      </c>
      <c r="AA5" s="109">
        <v>62</v>
      </c>
      <c r="AB5" s="99">
        <f t="shared" si="6"/>
        <v>749</v>
      </c>
      <c r="AC5" s="110">
        <f t="shared" ref="AC5:AC13" si="9">AA5/Y5</f>
        <v>7.6448828606658442E-2</v>
      </c>
      <c r="AD5" s="110">
        <f>AA5/$AA$14+AD4</f>
        <v>7.2822822822822819E-2</v>
      </c>
      <c r="AE5" s="110">
        <f>AB5/$AB$14+AE4</f>
        <v>0.22588000570044178</v>
      </c>
      <c r="AF5" s="111">
        <f t="shared" si="7"/>
        <v>0.15305718287761896</v>
      </c>
      <c r="AG5" s="108">
        <f>(AD5-AD4)*(AE5+AE4)*0.5</f>
        <v>8.0297270335748308E-3</v>
      </c>
    </row>
    <row r="6" spans="2:33" x14ac:dyDescent="0.3">
      <c r="B6" s="99">
        <v>3</v>
      </c>
      <c r="C6" s="109">
        <v>2295</v>
      </c>
      <c r="D6" s="110">
        <f>C6/$C$14</f>
        <v>9.8215432019514701E-2</v>
      </c>
      <c r="E6" s="109">
        <v>147</v>
      </c>
      <c r="F6" s="99">
        <f t="shared" si="0"/>
        <v>2148</v>
      </c>
      <c r="G6" s="110">
        <f t="shared" si="1"/>
        <v>6.4052287581699341E-2</v>
      </c>
      <c r="H6" s="110">
        <f>E6/$E$14+H5</f>
        <v>8.1791364977205683E-2</v>
      </c>
      <c r="I6" s="110">
        <f>F6/$F$14+I5</f>
        <v>0.33567573072614321</v>
      </c>
      <c r="J6" s="111">
        <f t="shared" si="2"/>
        <v>0.25388436574893752</v>
      </c>
      <c r="K6" s="108">
        <f>(H6-H5)*(I6+I5)*0.5</f>
        <v>1.1076674452809038E-2</v>
      </c>
      <c r="M6" s="99">
        <v>3</v>
      </c>
      <c r="N6" s="109">
        <v>1002</v>
      </c>
      <c r="O6" s="110">
        <f>N6/$N$14</f>
        <v>0.10000998103603154</v>
      </c>
      <c r="P6" s="109">
        <v>86</v>
      </c>
      <c r="Q6" s="99">
        <f t="shared" si="3"/>
        <v>916</v>
      </c>
      <c r="R6" s="110">
        <f t="shared" si="4"/>
        <v>8.5828343313373259E-2</v>
      </c>
      <c r="S6" s="110">
        <f>P6/$P$14+S5</f>
        <v>0.11944965603502189</v>
      </c>
      <c r="T6" s="110">
        <f>Q6/$Q$14+T5</f>
        <v>0.33432304038004751</v>
      </c>
      <c r="U6" s="111">
        <f t="shared" si="5"/>
        <v>0.21487338434502562</v>
      </c>
      <c r="V6" s="108">
        <f t="shared" si="8"/>
        <v>1.5055579570961068E-2</v>
      </c>
      <c r="X6" s="99">
        <v>3</v>
      </c>
      <c r="Y6" s="109">
        <v>769</v>
      </c>
      <c r="Z6" s="110">
        <f>Y6/$Y$14</f>
        <v>9.2106839142412258E-2</v>
      </c>
      <c r="AA6" s="109">
        <v>62</v>
      </c>
      <c r="AB6" s="99">
        <f t="shared" si="6"/>
        <v>707</v>
      </c>
      <c r="AC6" s="110">
        <f t="shared" si="9"/>
        <v>8.0624187256176857E-2</v>
      </c>
      <c r="AD6" s="110">
        <f>AA6/$AA$14+AD5</f>
        <v>0.11936936936936937</v>
      </c>
      <c r="AE6" s="110">
        <f>AB6/$AB$14+AE5</f>
        <v>0.32663531423685332</v>
      </c>
      <c r="AF6" s="111">
        <f t="shared" si="7"/>
        <v>0.20726594486748395</v>
      </c>
      <c r="AG6" s="108">
        <f t="shared" ref="AG6:AG12" si="10">(AD6-AD5)*(AE6+AE5)*0.5</f>
        <v>1.2858840028570682E-2</v>
      </c>
    </row>
    <row r="7" spans="2:33" x14ac:dyDescent="0.3">
      <c r="B7" s="99">
        <v>4</v>
      </c>
      <c r="C7" s="109">
        <v>2513</v>
      </c>
      <c r="D7" s="110">
        <f>C7/$C$14</f>
        <v>0.10754482817648821</v>
      </c>
      <c r="E7" s="109">
        <v>222</v>
      </c>
      <c r="F7" s="99">
        <f t="shared" si="0"/>
        <v>2291</v>
      </c>
      <c r="G7" s="110">
        <f t="shared" si="1"/>
        <v>8.8340628730600876E-2</v>
      </c>
      <c r="H7" s="110">
        <f>E7/$E$14+H6</f>
        <v>0.14132475194422098</v>
      </c>
      <c r="I7" s="110">
        <f>F7/$F$14+I6</f>
        <v>0.45233730522456461</v>
      </c>
      <c r="J7" s="111">
        <f t="shared" si="2"/>
        <v>0.31101255328034361</v>
      </c>
      <c r="K7" s="108">
        <f t="shared" ref="K7:K13" si="11">(H7-H6)*(I7+I6)*0.5</f>
        <v>2.3456542502153011E-2</v>
      </c>
      <c r="M7" s="99">
        <v>4</v>
      </c>
      <c r="N7" s="109">
        <v>1002</v>
      </c>
      <c r="O7" s="110">
        <f>N7/$N$14</f>
        <v>0.10000998103603154</v>
      </c>
      <c r="P7" s="109">
        <v>78</v>
      </c>
      <c r="Q7" s="99">
        <f t="shared" si="3"/>
        <v>924</v>
      </c>
      <c r="R7" s="110">
        <f t="shared" si="4"/>
        <v>7.7844311377245512E-2</v>
      </c>
      <c r="S7" s="110">
        <f>P7/$P$14+S6</f>
        <v>0.16823014383989993</v>
      </c>
      <c r="T7" s="110">
        <f>Q7/$Q$14+T6</f>
        <v>0.44406175771971496</v>
      </c>
      <c r="U7" s="111">
        <f t="shared" si="5"/>
        <v>0.27583161387981503</v>
      </c>
      <c r="V7" s="108">
        <f t="shared" si="8"/>
        <v>1.8984995075603958E-2</v>
      </c>
      <c r="X7" s="99">
        <v>4</v>
      </c>
      <c r="Y7" s="109">
        <v>916</v>
      </c>
      <c r="Z7" s="110">
        <f>Y7/$Y$14</f>
        <v>0.1097137381722362</v>
      </c>
      <c r="AA7" s="109">
        <v>89</v>
      </c>
      <c r="AB7" s="99">
        <f t="shared" si="6"/>
        <v>827</v>
      </c>
      <c r="AC7" s="110">
        <f t="shared" si="9"/>
        <v>9.7161572052401751E-2</v>
      </c>
      <c r="AD7" s="110">
        <f>AA7/$AA$14+AD6</f>
        <v>0.18618618618618621</v>
      </c>
      <c r="AE7" s="110">
        <f>AB7/$AB$14+AE6</f>
        <v>0.44449194812597975</v>
      </c>
      <c r="AF7" s="111">
        <f t="shared" si="7"/>
        <v>0.25830576193979354</v>
      </c>
      <c r="AG7" s="108">
        <f>(AD7-AD6)*(AE7+AE6)*0.5</f>
        <v>2.5762134515875439E-2</v>
      </c>
    </row>
    <row r="8" spans="2:33" ht="14.4" customHeight="1" x14ac:dyDescent="0.3">
      <c r="B8" s="99">
        <v>5</v>
      </c>
      <c r="C8" s="109">
        <v>2225</v>
      </c>
      <c r="D8" s="110">
        <f>C8/$C$14</f>
        <v>9.521975435443146E-2</v>
      </c>
      <c r="E8" s="109">
        <v>216</v>
      </c>
      <c r="F8" s="99">
        <f t="shared" si="0"/>
        <v>2009</v>
      </c>
      <c r="G8" s="110">
        <f t="shared" si="1"/>
        <v>9.7078651685393258E-2</v>
      </c>
      <c r="H8" s="110">
        <f>E8/$E$14+H7</f>
        <v>0.19924912845266829</v>
      </c>
      <c r="I8" s="110">
        <f>F8/$F$14+I7</f>
        <v>0.55463896527141254</v>
      </c>
      <c r="J8" s="111">
        <f t="shared" si="2"/>
        <v>0.35538983681874425</v>
      </c>
      <c r="K8" s="108">
        <f>(H8-H7)*(I8+I7)*0.5</f>
        <v>2.916423631364053E-2</v>
      </c>
      <c r="M8" s="99">
        <v>5</v>
      </c>
      <c r="N8" s="109">
        <v>1002</v>
      </c>
      <c r="O8" s="110">
        <f>N8/$N$14</f>
        <v>0.10000998103603154</v>
      </c>
      <c r="P8" s="109">
        <v>102</v>
      </c>
      <c r="Q8" s="99">
        <f t="shared" si="3"/>
        <v>900</v>
      </c>
      <c r="R8" s="110">
        <f t="shared" si="4"/>
        <v>0.10179640718562874</v>
      </c>
      <c r="S8" s="110">
        <f>P8/$P$14+S7</f>
        <v>0.23202001250781737</v>
      </c>
      <c r="T8" s="110">
        <f>Q8/$Q$14+T7</f>
        <v>0.55095011876484556</v>
      </c>
      <c r="U8" s="111">
        <f t="shared" si="5"/>
        <v>0.31893010625702822</v>
      </c>
      <c r="V8" s="108">
        <f t="shared" si="8"/>
        <v>3.1735838461984106E-2</v>
      </c>
      <c r="X8" s="99">
        <v>5</v>
      </c>
      <c r="Y8" s="109">
        <v>773</v>
      </c>
      <c r="Z8" s="110">
        <f>Y8/$Y$14</f>
        <v>9.2585938435740811E-2</v>
      </c>
      <c r="AA8" s="109">
        <v>105</v>
      </c>
      <c r="AB8" s="99">
        <f t="shared" si="6"/>
        <v>668</v>
      </c>
      <c r="AC8" s="110">
        <f t="shared" si="9"/>
        <v>0.13583441138421734</v>
      </c>
      <c r="AD8" s="110">
        <f>AA8/$AA$14+AD7</f>
        <v>0.26501501501501501</v>
      </c>
      <c r="AE8" s="110">
        <f>AB8/$AB$14+AE7</f>
        <v>0.53968932592275898</v>
      </c>
      <c r="AF8" s="111">
        <f t="shared" si="7"/>
        <v>0.27467431090774397</v>
      </c>
      <c r="AG8" s="108">
        <f t="shared" si="10"/>
        <v>3.8790928594263342E-2</v>
      </c>
    </row>
    <row r="9" spans="2:33" x14ac:dyDescent="0.3">
      <c r="B9" s="99">
        <v>6</v>
      </c>
      <c r="C9" s="109">
        <v>2443</v>
      </c>
      <c r="D9" s="110">
        <f>C9/$C$14</f>
        <v>0.10454915051140497</v>
      </c>
      <c r="E9" s="109">
        <v>358</v>
      </c>
      <c r="F9" s="99">
        <f t="shared" si="0"/>
        <v>2085</v>
      </c>
      <c r="G9" s="110">
        <f t="shared" si="1"/>
        <v>0.14654113794514942</v>
      </c>
      <c r="H9" s="110">
        <f>E9/$E$14+H8</f>
        <v>0.29525341914722447</v>
      </c>
      <c r="I9" s="110">
        <f>F9/$F$14+I8</f>
        <v>0.66081067318464204</v>
      </c>
      <c r="J9" s="111">
        <f t="shared" si="2"/>
        <v>0.36555725403741757</v>
      </c>
      <c r="K9" s="108">
        <f t="shared" si="11"/>
        <v>5.8344190207464147E-2</v>
      </c>
      <c r="M9" s="99">
        <v>6</v>
      </c>
      <c r="N9" s="109">
        <v>1002</v>
      </c>
      <c r="O9" s="110">
        <f>N9/$N$14</f>
        <v>0.10000998103603154</v>
      </c>
      <c r="P9" s="109">
        <v>147</v>
      </c>
      <c r="Q9" s="99">
        <f t="shared" si="3"/>
        <v>855</v>
      </c>
      <c r="R9" s="110">
        <f t="shared" si="4"/>
        <v>0.1467065868263473</v>
      </c>
      <c r="S9" s="110">
        <f>P9/$P$14+S8</f>
        <v>0.3239524702939337</v>
      </c>
      <c r="T9" s="110">
        <f>Q9/$Q$14+T8</f>
        <v>0.65249406175771973</v>
      </c>
      <c r="U9" s="111">
        <f t="shared" si="5"/>
        <v>0.32854159146378603</v>
      </c>
      <c r="V9" s="108">
        <f t="shared" si="8"/>
        <v>5.5317790661919053E-2</v>
      </c>
      <c r="X9" s="99">
        <v>6</v>
      </c>
      <c r="Y9" s="109">
        <v>928</v>
      </c>
      <c r="Z9" s="110">
        <f>Y9/$Y$14</f>
        <v>0.11115103605222182</v>
      </c>
      <c r="AA9" s="109">
        <v>118</v>
      </c>
      <c r="AB9" s="99">
        <f t="shared" si="6"/>
        <v>810</v>
      </c>
      <c r="AC9" s="110">
        <f t="shared" si="9"/>
        <v>0.12715517241379309</v>
      </c>
      <c r="AD9" s="110">
        <f>AA9/$AA$14+AD8</f>
        <v>0.3536036036036036</v>
      </c>
      <c r="AE9" s="110">
        <f>AB9/$AB$14+AE8</f>
        <v>0.65512327205358412</v>
      </c>
      <c r="AF9" s="111">
        <f t="shared" si="7"/>
        <v>0.30151966844998052</v>
      </c>
      <c r="AG9" s="108">
        <f t="shared" si="10"/>
        <v>5.2923380841294478E-2</v>
      </c>
    </row>
    <row r="10" spans="2:33" x14ac:dyDescent="0.3">
      <c r="B10" s="99">
        <v>7</v>
      </c>
      <c r="C10" s="109">
        <v>2258</v>
      </c>
      <c r="D10" s="110">
        <f>C10/$C$14</f>
        <v>9.6632002396542127E-2</v>
      </c>
      <c r="E10" s="109">
        <v>370</v>
      </c>
      <c r="F10" s="99">
        <f t="shared" si="0"/>
        <v>1888</v>
      </c>
      <c r="G10" s="110">
        <f t="shared" si="1"/>
        <v>0.16386182462356066</v>
      </c>
      <c r="H10" s="110">
        <f>E10/$E$14+H9</f>
        <v>0.39447573075891662</v>
      </c>
      <c r="I10" s="110">
        <f>F10/$F$14+I9</f>
        <v>0.75695080965475103</v>
      </c>
      <c r="J10" s="111">
        <f t="shared" si="2"/>
        <v>0.36247507889583441</v>
      </c>
      <c r="K10" s="108">
        <f t="shared" si="11"/>
        <v>7.0336785820672487E-2</v>
      </c>
      <c r="M10" s="99">
        <v>7</v>
      </c>
      <c r="N10" s="109">
        <v>1001</v>
      </c>
      <c r="O10" s="110">
        <f>N10/$N$14</f>
        <v>9.9910170675716142E-2</v>
      </c>
      <c r="P10" s="109">
        <v>201</v>
      </c>
      <c r="Q10" s="99">
        <f t="shared" si="3"/>
        <v>800</v>
      </c>
      <c r="R10" s="110">
        <f t="shared" si="4"/>
        <v>0.2007992007992008</v>
      </c>
      <c r="S10" s="110">
        <f>P10/$P$14+S9</f>
        <v>0.44965603502188867</v>
      </c>
      <c r="T10" s="110">
        <f>Q10/$Q$14+T9</f>
        <v>0.74750593824228029</v>
      </c>
      <c r="U10" s="111">
        <f t="shared" si="5"/>
        <v>0.29784990322039162</v>
      </c>
      <c r="V10" s="108">
        <f t="shared" si="8"/>
        <v>8.7992495309568472E-2</v>
      </c>
      <c r="X10" s="99">
        <v>7</v>
      </c>
      <c r="Y10" s="109">
        <v>790</v>
      </c>
      <c r="Z10" s="110">
        <f>Y10/$Y$14</f>
        <v>9.4622110432387108E-2</v>
      </c>
      <c r="AA10" s="109">
        <v>115</v>
      </c>
      <c r="AB10" s="99">
        <f t="shared" si="6"/>
        <v>675</v>
      </c>
      <c r="AC10" s="110">
        <f t="shared" si="9"/>
        <v>0.14556962025316456</v>
      </c>
      <c r="AD10" s="110">
        <f>AA10/$AA$14+AD9</f>
        <v>0.43993993993993996</v>
      </c>
      <c r="AE10" s="110">
        <f>AB10/$AB$14+AE9</f>
        <v>0.7513182271626051</v>
      </c>
      <c r="AF10" s="111">
        <f t="shared" si="7"/>
        <v>0.31137828722266514</v>
      </c>
      <c r="AG10" s="108">
        <f t="shared" si="10"/>
        <v>6.0713503156855038E-2</v>
      </c>
    </row>
    <row r="11" spans="2:33" x14ac:dyDescent="0.3">
      <c r="B11" s="99">
        <v>8</v>
      </c>
      <c r="C11" s="109">
        <v>2327</v>
      </c>
      <c r="D11" s="110">
        <f>C11/$C$14</f>
        <v>9.9584884666409898E-2</v>
      </c>
      <c r="E11" s="109">
        <v>472</v>
      </c>
      <c r="F11" s="99">
        <f t="shared" si="0"/>
        <v>1855</v>
      </c>
      <c r="G11" s="110">
        <f t="shared" si="1"/>
        <v>0.20283626987537601</v>
      </c>
      <c r="H11" s="110">
        <f>E11/$E$14+H10</f>
        <v>0.52105122016626448</v>
      </c>
      <c r="I11" s="110">
        <f>F11/$F$14+I10</f>
        <v>0.85141053060393124</v>
      </c>
      <c r="J11" s="111">
        <f t="shared" si="2"/>
        <v>0.33035931043766675</v>
      </c>
      <c r="K11" s="108">
        <f t="shared" si="11"/>
        <v>0.10178956189355033</v>
      </c>
      <c r="M11" s="99">
        <v>8</v>
      </c>
      <c r="N11" s="109">
        <v>1002</v>
      </c>
      <c r="O11" s="110">
        <f>N11/$N$14</f>
        <v>0.10000998103603154</v>
      </c>
      <c r="P11" s="109">
        <v>199</v>
      </c>
      <c r="Q11" s="99">
        <f t="shared" si="3"/>
        <v>803</v>
      </c>
      <c r="R11" s="110">
        <f t="shared" si="4"/>
        <v>0.19860279441117765</v>
      </c>
      <c r="S11" s="110">
        <f>P11/$P$14+S10</f>
        <v>0.57410881801125702</v>
      </c>
      <c r="T11" s="110">
        <f>Q11/$Q$14+T10</f>
        <v>0.84287410926365802</v>
      </c>
      <c r="U11" s="111">
        <f t="shared" si="5"/>
        <v>0.26876529125240101</v>
      </c>
      <c r="V11" s="108">
        <f t="shared" si="8"/>
        <v>9.8963611461438936E-2</v>
      </c>
      <c r="X11" s="99">
        <v>8</v>
      </c>
      <c r="Y11" s="109">
        <v>841</v>
      </c>
      <c r="Z11" s="110">
        <f>Y11/$Y$14</f>
        <v>0.10073062642232603</v>
      </c>
      <c r="AA11" s="109">
        <v>171</v>
      </c>
      <c r="AB11" s="99">
        <f t="shared" si="6"/>
        <v>670</v>
      </c>
      <c r="AC11" s="110">
        <f t="shared" si="9"/>
        <v>0.20332936979785968</v>
      </c>
      <c r="AD11" s="110">
        <f>AA11/$AA$14+AD10</f>
        <v>0.56831831831831836</v>
      </c>
      <c r="AE11" s="110">
        <f>AB11/$AB$14+AE10</f>
        <v>0.84680062704859627</v>
      </c>
      <c r="AF11" s="111">
        <f t="shared" si="7"/>
        <v>0.27848230873027791</v>
      </c>
      <c r="AG11" s="108">
        <f t="shared" si="10"/>
        <v>0.10258195347977307</v>
      </c>
    </row>
    <row r="12" spans="2:33" x14ac:dyDescent="0.3">
      <c r="B12" s="99">
        <v>9</v>
      </c>
      <c r="C12" s="109">
        <v>2326</v>
      </c>
      <c r="D12" s="110">
        <f>C12/$C$14</f>
        <v>9.9542089271194414E-2</v>
      </c>
      <c r="E12" s="109">
        <v>641</v>
      </c>
      <c r="F12" s="99">
        <f t="shared" si="0"/>
        <v>1685</v>
      </c>
      <c r="G12" s="110">
        <f t="shared" si="1"/>
        <v>0.27558039552880481</v>
      </c>
      <c r="H12" s="110">
        <f>E12/$E$14+H11</f>
        <v>0.69294717082327706</v>
      </c>
      <c r="I12" s="110">
        <f>F12/$F$14+I11</f>
        <v>0.93721356553620538</v>
      </c>
      <c r="J12" s="111">
        <f t="shared" si="2"/>
        <v>0.24426639471292833</v>
      </c>
      <c r="K12" s="108">
        <f t="shared" si="11"/>
        <v>0.15372861968702434</v>
      </c>
      <c r="M12" s="99">
        <v>9</v>
      </c>
      <c r="N12" s="109">
        <v>1002</v>
      </c>
      <c r="O12" s="110">
        <f>N12/$N$14</f>
        <v>0.10000998103603154</v>
      </c>
      <c r="P12" s="109">
        <v>268</v>
      </c>
      <c r="Q12" s="99">
        <f t="shared" si="3"/>
        <v>734</v>
      </c>
      <c r="R12" s="110">
        <f t="shared" si="4"/>
        <v>0.26746506986027946</v>
      </c>
      <c r="S12" s="110">
        <f>P12/$P$14+S11</f>
        <v>0.74171357098186363</v>
      </c>
      <c r="T12" s="110">
        <f>Q12/$Q$14+T11</f>
        <v>0.93004750593824237</v>
      </c>
      <c r="U12" s="111">
        <f t="shared" si="5"/>
        <v>0.18833393495637873</v>
      </c>
      <c r="V12" s="108">
        <f t="shared" si="8"/>
        <v>0.14857504467608168</v>
      </c>
      <c r="X12" s="99">
        <v>9</v>
      </c>
      <c r="Y12" s="109">
        <v>852</v>
      </c>
      <c r="Z12" s="110">
        <f>Y12/$Y$14</f>
        <v>0.10204814947897951</v>
      </c>
      <c r="AA12" s="109">
        <v>226</v>
      </c>
      <c r="AB12" s="99">
        <f t="shared" si="6"/>
        <v>626</v>
      </c>
      <c r="AC12" s="110">
        <f t="shared" si="9"/>
        <v>0.26525821596244131</v>
      </c>
      <c r="AD12" s="110">
        <f>AA12/$AA$14+AD11</f>
        <v>0.73798798798798804</v>
      </c>
      <c r="AE12" s="110">
        <f>AB12/$AB$14+AE11</f>
        <v>0.93601254097192532</v>
      </c>
      <c r="AF12" s="111">
        <f t="shared" si="7"/>
        <v>0.19802455298393729</v>
      </c>
      <c r="AG12" s="108">
        <f t="shared" si="10"/>
        <v>0.15124466065038958</v>
      </c>
    </row>
    <row r="13" spans="2:33" x14ac:dyDescent="0.3">
      <c r="B13" s="99">
        <v>10</v>
      </c>
      <c r="C13" s="109">
        <v>2378</v>
      </c>
      <c r="D13" s="110">
        <f>C13/$C$14</f>
        <v>0.1017674498223991</v>
      </c>
      <c r="E13" s="109">
        <v>1145</v>
      </c>
      <c r="F13" s="99">
        <f t="shared" si="0"/>
        <v>1233</v>
      </c>
      <c r="G13" s="110">
        <f t="shared" si="1"/>
        <v>0.48149705634987383</v>
      </c>
      <c r="H13" s="110">
        <f>E13/$E$14+H12</f>
        <v>1</v>
      </c>
      <c r="I13" s="110">
        <f>F13/$F$14+I12</f>
        <v>1</v>
      </c>
      <c r="J13" s="111">
        <f t="shared" si="2"/>
        <v>0</v>
      </c>
      <c r="K13" s="108">
        <f t="shared" si="11"/>
        <v>0.29741345300870942</v>
      </c>
      <c r="M13" s="99">
        <v>10</v>
      </c>
      <c r="N13" s="109">
        <v>1002</v>
      </c>
      <c r="O13" s="110">
        <f>N13/$N$14</f>
        <v>0.10000998103603154</v>
      </c>
      <c r="P13" s="109">
        <v>413</v>
      </c>
      <c r="Q13" s="99">
        <f t="shared" si="3"/>
        <v>589</v>
      </c>
      <c r="R13" s="110">
        <f t="shared" si="4"/>
        <v>0.41217564870259482</v>
      </c>
      <c r="S13" s="110">
        <f>P13/$P$14+S12</f>
        <v>1</v>
      </c>
      <c r="T13" s="110">
        <f>Q13/$Q$14+T12</f>
        <v>1</v>
      </c>
      <c r="U13" s="111">
        <f t="shared" si="5"/>
        <v>0</v>
      </c>
      <c r="V13" s="108">
        <f>(S13-S12)*(T13+T12)*0.5</f>
        <v>0.24925253907207451</v>
      </c>
      <c r="X13" s="99">
        <v>10</v>
      </c>
      <c r="Y13" s="109">
        <v>798</v>
      </c>
      <c r="Z13" s="110">
        <f>Y13/$Y$14</f>
        <v>9.5580309019044199E-2</v>
      </c>
      <c r="AA13" s="109">
        <v>349</v>
      </c>
      <c r="AB13" s="99">
        <f t="shared" si="6"/>
        <v>449</v>
      </c>
      <c r="AC13" s="110">
        <f t="shared" si="9"/>
        <v>0.43734335839598998</v>
      </c>
      <c r="AD13" s="110">
        <f>AA13/$AA$14+AD12</f>
        <v>1</v>
      </c>
      <c r="AE13" s="110">
        <f>AB13/$AB$14+AE12</f>
        <v>1</v>
      </c>
      <c r="AF13" s="111">
        <f t="shared" si="7"/>
        <v>0</v>
      </c>
      <c r="AG13" s="108">
        <f>(AD13-AD12)*(AE13+AE12)*0.5</f>
        <v>0.25362927057027096</v>
      </c>
    </row>
    <row r="14" spans="2:33" ht="31.2" customHeight="1" x14ac:dyDescent="0.3">
      <c r="B14" s="112" t="s">
        <v>13</v>
      </c>
      <c r="C14" s="112">
        <f>SUM(C4:C13)</f>
        <v>23367</v>
      </c>
      <c r="D14" s="113">
        <f>SUM(D4:D13)</f>
        <v>1</v>
      </c>
      <c r="E14" s="112">
        <f>SUM(E4:E13)</f>
        <v>3729</v>
      </c>
      <c r="F14" s="112">
        <f>SUM(F4:F13)</f>
        <v>19638</v>
      </c>
      <c r="G14" s="113">
        <f>E14/C14</f>
        <v>0.15958402875850558</v>
      </c>
      <c r="H14" s="112"/>
      <c r="I14" s="142" t="s">
        <v>14</v>
      </c>
      <c r="J14" s="114">
        <v>36.991917253110699</v>
      </c>
      <c r="K14" s="115">
        <f>SUM(K4:K13)</f>
        <v>0.75063137287450454</v>
      </c>
      <c r="M14" s="112" t="s">
        <v>13</v>
      </c>
      <c r="N14" s="112">
        <f>SUM(N4:N13)</f>
        <v>10019</v>
      </c>
      <c r="O14" s="113">
        <f>SUM(O4:O13)</f>
        <v>1</v>
      </c>
      <c r="P14" s="112">
        <f>SUM(P4:P13)</f>
        <v>1599</v>
      </c>
      <c r="Q14" s="112">
        <f>SUM(Q4:Q13)</f>
        <v>8420</v>
      </c>
      <c r="R14" s="113">
        <f>P14/N14</f>
        <v>0.15959676614432577</v>
      </c>
      <c r="S14" s="112"/>
      <c r="T14" s="143" t="s">
        <v>14</v>
      </c>
      <c r="U14" s="129">
        <v>33.357898811475003</v>
      </c>
      <c r="V14" s="115">
        <f>SUM(V4:V13)</f>
        <v>0.71428758175760088</v>
      </c>
      <c r="X14" s="112" t="s">
        <v>13</v>
      </c>
      <c r="Y14" s="112">
        <f>SUM(Y4:Y13)</f>
        <v>8349</v>
      </c>
      <c r="Z14" s="113">
        <f>SUM(Z4:Z13)</f>
        <v>1</v>
      </c>
      <c r="AA14" s="112">
        <f>SUM(AA4:AA13)</f>
        <v>1332</v>
      </c>
      <c r="AB14" s="112">
        <f>SUM(AB4:AB13)</f>
        <v>7017</v>
      </c>
      <c r="AC14" s="113">
        <f>AA14/Y14</f>
        <v>0.15954006467840459</v>
      </c>
      <c r="AD14" s="112"/>
      <c r="AE14" s="144" t="s">
        <v>14</v>
      </c>
      <c r="AF14" s="133">
        <v>31.800119914698701</v>
      </c>
      <c r="AG14" s="115">
        <f>SUM(AG4:AG13)</f>
        <v>0.70809966657551093</v>
      </c>
    </row>
    <row r="15" spans="2:33" ht="34.799999999999997" x14ac:dyDescent="0.3">
      <c r="J15" s="112" t="s">
        <v>15</v>
      </c>
      <c r="K15" s="115">
        <f>K14*2-1</f>
        <v>0.50126274574900909</v>
      </c>
      <c r="U15" s="112" t="s">
        <v>15</v>
      </c>
      <c r="V15" s="115">
        <f>V14*2-1</f>
        <v>0.42857516351520175</v>
      </c>
      <c r="AF15" s="112" t="s">
        <v>15</v>
      </c>
      <c r="AG15" s="115">
        <f>AG14*2-1</f>
        <v>0.41619933315102187</v>
      </c>
    </row>
    <row r="16" spans="2:33" x14ac:dyDescent="0.3">
      <c r="D16" s="116"/>
    </row>
    <row r="17" spans="2:24" x14ac:dyDescent="0.3">
      <c r="D17" s="116"/>
    </row>
    <row r="20" spans="2:24" ht="46.8" customHeight="1" x14ac:dyDescent="0.3">
      <c r="L20" s="119" t="s">
        <v>16</v>
      </c>
      <c r="M20" s="119"/>
      <c r="N20" s="119"/>
      <c r="P20" s="99"/>
      <c r="Q20" s="100" t="s">
        <v>49</v>
      </c>
      <c r="R20" s="101" t="s">
        <v>42</v>
      </c>
      <c r="S20" s="102" t="s">
        <v>50</v>
      </c>
      <c r="U20" s="117" t="s">
        <v>48</v>
      </c>
      <c r="V20" s="118"/>
      <c r="W20" s="118"/>
      <c r="X20" s="118"/>
    </row>
    <row r="21" spans="2:24" ht="34.799999999999997" x14ac:dyDescent="0.3">
      <c r="L21" s="101" t="s">
        <v>3</v>
      </c>
      <c r="M21" s="100" t="s">
        <v>46</v>
      </c>
      <c r="N21" s="122" t="s">
        <v>47</v>
      </c>
      <c r="P21" s="99" t="s">
        <v>54</v>
      </c>
      <c r="Q21" s="106">
        <f>$G$14</f>
        <v>0.15958402875850558</v>
      </c>
      <c r="R21" s="106">
        <f>$R$14</f>
        <v>0.15959676614432577</v>
      </c>
      <c r="S21" s="106">
        <f>$AC$14</f>
        <v>0.15954006467840459</v>
      </c>
      <c r="U21" s="112" t="s">
        <v>3</v>
      </c>
      <c r="V21" s="100" t="s">
        <v>45</v>
      </c>
      <c r="W21" s="101" t="s">
        <v>43</v>
      </c>
      <c r="X21" s="121" t="s">
        <v>44</v>
      </c>
    </row>
    <row r="22" spans="2:24" x14ac:dyDescent="0.3">
      <c r="L22" s="99">
        <v>1</v>
      </c>
      <c r="M22" s="124">
        <f>(O4-D4)*LN(O4/D4)</f>
        <v>4.7905413200885185E-4</v>
      </c>
      <c r="N22" s="124">
        <f>(Z4-D4)*LN(Z4/D4)</f>
        <v>1.2523019776349632E-3</v>
      </c>
      <c r="P22" s="99" t="s">
        <v>11</v>
      </c>
      <c r="Q22" s="108">
        <f>$J$14</f>
        <v>36.991917253110699</v>
      </c>
      <c r="R22" s="108">
        <f>$U$14</f>
        <v>33.357898811475003</v>
      </c>
      <c r="S22" s="108">
        <f>$AF$14</f>
        <v>31.800119914698701</v>
      </c>
      <c r="U22" s="99">
        <v>1</v>
      </c>
      <c r="V22" s="110">
        <f>G4</f>
        <v>2.6629935720844811E-2</v>
      </c>
      <c r="W22" s="110">
        <f>R4</f>
        <v>3.8922155688622756E-2</v>
      </c>
      <c r="X22" s="110">
        <f>AC4</f>
        <v>4.0183696900114814E-2</v>
      </c>
    </row>
    <row r="23" spans="2:24" x14ac:dyDescent="0.3">
      <c r="L23" s="99">
        <v>2</v>
      </c>
      <c r="M23" s="124">
        <f>(O5-D5)*LN(O5/D5)</f>
        <v>1.3629761831619662E-4</v>
      </c>
      <c r="N23" s="124">
        <f>(Z5-D5)*LN(Z5/D5)</f>
        <v>4.3368542457871068E-4</v>
      </c>
      <c r="P23" s="108" t="s">
        <v>12</v>
      </c>
      <c r="Q23" s="145">
        <f>K14</f>
        <v>0.75063137287450454</v>
      </c>
      <c r="R23" s="145">
        <f>V14</f>
        <v>0.71428758175760088</v>
      </c>
      <c r="S23" s="145">
        <f>AG14</f>
        <v>0.70809966657551093</v>
      </c>
      <c r="U23" s="99">
        <v>2</v>
      </c>
      <c r="V23" s="110">
        <f>G5</f>
        <v>4.1254125412541254E-2</v>
      </c>
      <c r="W23" s="110">
        <f>R5</f>
        <v>6.5868263473053898E-2</v>
      </c>
      <c r="X23" s="110">
        <f>AC5</f>
        <v>7.6448828606658442E-2</v>
      </c>
    </row>
    <row r="24" spans="2:24" x14ac:dyDescent="0.3">
      <c r="L24" s="99">
        <v>3</v>
      </c>
      <c r="M24" s="124">
        <f>(O6-D6)*LN(O6/D6)</f>
        <v>3.2493252069392054E-5</v>
      </c>
      <c r="N24" s="124">
        <f>(Z6-D6)*LN(Z6/D6)</f>
        <v>3.9225812125923658E-4</v>
      </c>
      <c r="U24" s="99">
        <v>3</v>
      </c>
      <c r="V24" s="110">
        <f>G6</f>
        <v>6.4052287581699341E-2</v>
      </c>
      <c r="W24" s="110">
        <f>R6</f>
        <v>8.5828343313373259E-2</v>
      </c>
      <c r="X24" s="110">
        <f>AC6</f>
        <v>8.0624187256176857E-2</v>
      </c>
    </row>
    <row r="25" spans="2:24" x14ac:dyDescent="0.3">
      <c r="L25" s="99">
        <v>4</v>
      </c>
      <c r="M25" s="124">
        <f>(O7-D7)*LN(O7/D7)</f>
        <v>5.4731453554264888E-4</v>
      </c>
      <c r="N25" s="124">
        <f>(Z7-D7)*LN(Z7/D7)</f>
        <v>4.3306249632562446E-5</v>
      </c>
      <c r="U25" s="99">
        <v>4</v>
      </c>
      <c r="V25" s="110">
        <f>G7</f>
        <v>8.8340628730600876E-2</v>
      </c>
      <c r="W25" s="110">
        <f>R7</f>
        <v>7.7844311377245512E-2</v>
      </c>
      <c r="X25" s="110">
        <f>AC7</f>
        <v>9.7161572052401751E-2</v>
      </c>
    </row>
    <row r="26" spans="2:24" x14ac:dyDescent="0.3">
      <c r="L26" s="99">
        <v>5</v>
      </c>
      <c r="M26" s="124">
        <f>(O8-D8)*LN(O8/D8)</f>
        <v>2.3511662383284617E-4</v>
      </c>
      <c r="N26" s="124">
        <f>(Z8-D8)*LN(Z8/D8)</f>
        <v>7.3878922686362292E-5</v>
      </c>
      <c r="U26" s="99">
        <v>5</v>
      </c>
      <c r="V26" s="110">
        <f>G8</f>
        <v>9.7078651685393258E-2</v>
      </c>
      <c r="W26" s="110">
        <f>R8</f>
        <v>0.10179640718562874</v>
      </c>
      <c r="X26" s="110">
        <f>AC8</f>
        <v>0.13583441138421734</v>
      </c>
    </row>
    <row r="27" spans="2:24" x14ac:dyDescent="0.3">
      <c r="L27" s="99">
        <v>6</v>
      </c>
      <c r="M27" s="124">
        <f>(O9-D9)*LN(O9/D9)</f>
        <v>2.0148151939650578E-4</v>
      </c>
      <c r="N27" s="124">
        <f>(Z9-D9)*LN(Z9/D9)</f>
        <v>4.0425101877011231E-4</v>
      </c>
      <c r="U27" s="99">
        <v>6</v>
      </c>
      <c r="V27" s="110">
        <f>G9</f>
        <v>0.14654113794514942</v>
      </c>
      <c r="W27" s="110">
        <f>R9</f>
        <v>0.1467065868263473</v>
      </c>
      <c r="X27" s="110">
        <f>AC9</f>
        <v>0.12715517241379309</v>
      </c>
    </row>
    <row r="28" spans="2:24" x14ac:dyDescent="0.3">
      <c r="L28" s="99">
        <v>7</v>
      </c>
      <c r="M28" s="124">
        <f>(O10-D10)*LN(O10/D10)</f>
        <v>1.0936466000316847E-4</v>
      </c>
      <c r="N28" s="124">
        <f>(Z10-D10)*LN(Z10/D10)</f>
        <v>4.2245516923706882E-5</v>
      </c>
      <c r="U28" s="99">
        <v>7</v>
      </c>
      <c r="V28" s="110">
        <f>G10</f>
        <v>0.16386182462356066</v>
      </c>
      <c r="W28" s="110">
        <f>R10</f>
        <v>0.2007992007992008</v>
      </c>
      <c r="X28" s="110">
        <f>AC10</f>
        <v>0.14556962025316456</v>
      </c>
    </row>
    <row r="29" spans="2:24" x14ac:dyDescent="0.3">
      <c r="L29" s="99">
        <v>8</v>
      </c>
      <c r="M29" s="124">
        <f>(O11-D11)*LN(O11/D11)</f>
        <v>1.8107399312205464E-6</v>
      </c>
      <c r="N29" s="124">
        <f>(Z11-D11)*LN(Z11/D11)</f>
        <v>1.3106708307981172E-5</v>
      </c>
      <c r="U29" s="99">
        <v>8</v>
      </c>
      <c r="V29" s="110">
        <f>G11</f>
        <v>0.20283626987537601</v>
      </c>
      <c r="W29" s="110">
        <f>R11</f>
        <v>0.19860279441117765</v>
      </c>
      <c r="X29" s="110">
        <f>AC11</f>
        <v>0.20332936979785968</v>
      </c>
    </row>
    <row r="30" spans="2:24" x14ac:dyDescent="0.3">
      <c r="L30" s="99">
        <v>9</v>
      </c>
      <c r="M30" s="124">
        <f>(O12-D12)*LN(O12/D12)</f>
        <v>2.1941451617576779E-6</v>
      </c>
      <c r="N30" s="124">
        <f>(Z12-D12)*LN(Z12/D12)</f>
        <v>6.2311165038775486E-5</v>
      </c>
      <c r="U30" s="99">
        <v>9</v>
      </c>
      <c r="V30" s="110">
        <f>G12</f>
        <v>0.27558039552880481</v>
      </c>
      <c r="W30" s="110">
        <f>R12</f>
        <v>0.26746506986027946</v>
      </c>
      <c r="X30" s="110">
        <f>AC12</f>
        <v>0.26525821596244131</v>
      </c>
    </row>
    <row r="31" spans="2:24" x14ac:dyDescent="0.3">
      <c r="L31" s="99">
        <v>10</v>
      </c>
      <c r="M31" s="124">
        <f>(O13-D13)*LN(O13/D13)</f>
        <v>3.061566034822363E-5</v>
      </c>
      <c r="N31" s="124">
        <f>(Z13-D13)*LN(Z13/D13)</f>
        <v>3.8807900495371847E-4</v>
      </c>
      <c r="U31" s="99">
        <v>10</v>
      </c>
      <c r="V31" s="110">
        <f>G13</f>
        <v>0.48149705634987383</v>
      </c>
      <c r="W31" s="110">
        <f>R13</f>
        <v>0.41217564870259482</v>
      </c>
      <c r="X31" s="110">
        <f>AC13</f>
        <v>0.43734335839598998</v>
      </c>
    </row>
    <row r="32" spans="2:24" ht="24" x14ac:dyDescent="0.3">
      <c r="B32" s="125"/>
      <c r="E32" s="126"/>
      <c r="L32" s="112" t="s">
        <v>13</v>
      </c>
      <c r="M32" s="127">
        <f>SUM(M22:M31)</f>
        <v>1.7757428866108115E-3</v>
      </c>
      <c r="N32" s="128">
        <f>SUM(N22:N31)</f>
        <v>3.1054241097861284E-3</v>
      </c>
    </row>
    <row r="33" spans="2:11" ht="20.399999999999999" x14ac:dyDescent="0.3">
      <c r="B33" s="125"/>
      <c r="E33" s="126"/>
    </row>
    <row r="34" spans="2:11" ht="20.399999999999999" x14ac:dyDescent="0.3">
      <c r="B34" s="125"/>
      <c r="C34" s="126"/>
      <c r="E34" s="126"/>
    </row>
    <row r="36" spans="2:11" x14ac:dyDescent="0.3">
      <c r="K36" s="125"/>
    </row>
    <row r="38" spans="2:11" ht="34.799999999999997" customHeight="1" x14ac:dyDescent="0.3"/>
    <row r="54" spans="12:16" x14ac:dyDescent="0.3">
      <c r="L54" s="134" t="s">
        <v>24</v>
      </c>
      <c r="M54" s="135"/>
      <c r="N54" s="135"/>
      <c r="O54" s="135"/>
      <c r="P54" s="135"/>
    </row>
    <row r="55" spans="12:16" ht="52.2" x14ac:dyDescent="0.3">
      <c r="L55" s="136" t="s">
        <v>25</v>
      </c>
      <c r="M55" s="137" t="s">
        <v>26</v>
      </c>
      <c r="N55" s="137" t="s">
        <v>27</v>
      </c>
      <c r="O55" s="137" t="s">
        <v>28</v>
      </c>
      <c r="P55" s="137" t="s">
        <v>27</v>
      </c>
    </row>
    <row r="56" spans="12:16" ht="87" x14ac:dyDescent="0.3">
      <c r="L56" s="138"/>
      <c r="M56" s="139" t="s">
        <v>29</v>
      </c>
      <c r="N56" s="139" t="s">
        <v>30</v>
      </c>
      <c r="O56" s="139" t="s">
        <v>29</v>
      </c>
      <c r="P56" s="139" t="s">
        <v>31</v>
      </c>
    </row>
    <row r="57" spans="12:16" x14ac:dyDescent="0.3">
      <c r="L57" s="140">
        <v>1</v>
      </c>
      <c r="M57" s="140">
        <f>RANK(V22,$V$22:$V$31,1)</f>
        <v>1</v>
      </c>
      <c r="N57" s="140">
        <f>MAX(0,M57-L57)</f>
        <v>0</v>
      </c>
      <c r="O57" s="140">
        <f>RANK(W22,$W$22:$W$31,1)</f>
        <v>1</v>
      </c>
      <c r="P57" s="140">
        <f t="shared" ref="P57:P66" si="12">MAX(0,O57-L57)</f>
        <v>0</v>
      </c>
    </row>
    <row r="58" spans="12:16" x14ac:dyDescent="0.3">
      <c r="L58" s="140">
        <v>2</v>
      </c>
      <c r="M58" s="140">
        <f>RANK(V23,$V$22:$V$31,1)</f>
        <v>2</v>
      </c>
      <c r="N58" s="140">
        <f t="shared" ref="N58:N66" si="13">MAX(0,M58-L58)</f>
        <v>0</v>
      </c>
      <c r="O58" s="140">
        <f>RANK(W23,$W$22:$W$31,1)</f>
        <v>2</v>
      </c>
      <c r="P58" s="140">
        <f t="shared" si="12"/>
        <v>0</v>
      </c>
    </row>
    <row r="59" spans="12:16" x14ac:dyDescent="0.3">
      <c r="L59" s="140">
        <v>3</v>
      </c>
      <c r="M59" s="140">
        <f>RANK(V24,$V$22:$V$31,1)</f>
        <v>3</v>
      </c>
      <c r="N59" s="140">
        <f t="shared" si="13"/>
        <v>0</v>
      </c>
      <c r="O59" s="140">
        <f>RANK(W24,$W$22:$W$31,1)</f>
        <v>4</v>
      </c>
      <c r="P59" s="140">
        <f t="shared" si="12"/>
        <v>1</v>
      </c>
    </row>
    <row r="60" spans="12:16" x14ac:dyDescent="0.3">
      <c r="L60" s="140">
        <v>4</v>
      </c>
      <c r="M60" s="140">
        <f>RANK(V25,$V$22:$V$31,1)</f>
        <v>4</v>
      </c>
      <c r="N60" s="140">
        <f t="shared" si="13"/>
        <v>0</v>
      </c>
      <c r="O60" s="140">
        <f>RANK(W25,$W$22:$W$31,1)</f>
        <v>3</v>
      </c>
      <c r="P60" s="140">
        <f t="shared" si="12"/>
        <v>0</v>
      </c>
    </row>
    <row r="61" spans="12:16" x14ac:dyDescent="0.3">
      <c r="L61" s="140">
        <v>5</v>
      </c>
      <c r="M61" s="140">
        <f>RANK(V26,$V$22:$V$31,1)</f>
        <v>5</v>
      </c>
      <c r="N61" s="140">
        <f t="shared" si="13"/>
        <v>0</v>
      </c>
      <c r="O61" s="140">
        <f>RANK(W26,$W$22:$W$31,1)</f>
        <v>5</v>
      </c>
      <c r="P61" s="140">
        <f t="shared" si="12"/>
        <v>0</v>
      </c>
    </row>
    <row r="62" spans="12:16" x14ac:dyDescent="0.3">
      <c r="L62" s="140">
        <v>6</v>
      </c>
      <c r="M62" s="140">
        <f>RANK(V27,$V$22:$V$31,1)</f>
        <v>6</v>
      </c>
      <c r="N62" s="140">
        <f t="shared" si="13"/>
        <v>0</v>
      </c>
      <c r="O62" s="140">
        <f>RANK(W27,$W$22:$W$31,1)</f>
        <v>6</v>
      </c>
      <c r="P62" s="140">
        <f t="shared" si="12"/>
        <v>0</v>
      </c>
    </row>
    <row r="63" spans="12:16" x14ac:dyDescent="0.3">
      <c r="L63" s="140">
        <v>7</v>
      </c>
      <c r="M63" s="140">
        <f>RANK(V28,$V$22:$V$31,1)</f>
        <v>7</v>
      </c>
      <c r="N63" s="140">
        <f t="shared" si="13"/>
        <v>0</v>
      </c>
      <c r="O63" s="140">
        <f>RANK(W28,$W$22:$W$31,1)</f>
        <v>8</v>
      </c>
      <c r="P63" s="140">
        <f t="shared" si="12"/>
        <v>1</v>
      </c>
    </row>
    <row r="64" spans="12:16" x14ac:dyDescent="0.3">
      <c r="L64" s="140">
        <v>8</v>
      </c>
      <c r="M64" s="140">
        <f>RANK(V29,$V$22:$V$31,1)</f>
        <v>8</v>
      </c>
      <c r="N64" s="140">
        <f t="shared" si="13"/>
        <v>0</v>
      </c>
      <c r="O64" s="140">
        <f>RANK(W29,$W$22:$W$31,1)</f>
        <v>7</v>
      </c>
      <c r="P64" s="140">
        <f t="shared" si="12"/>
        <v>0</v>
      </c>
    </row>
    <row r="65" spans="12:16" x14ac:dyDescent="0.3">
      <c r="L65" s="140">
        <v>9</v>
      </c>
      <c r="M65" s="140">
        <f>RANK(V30,$V$22:$V$31,1)</f>
        <v>9</v>
      </c>
      <c r="N65" s="140">
        <f t="shared" si="13"/>
        <v>0</v>
      </c>
      <c r="O65" s="140">
        <f>RANK(W30,$W$22:$W$31,1)</f>
        <v>9</v>
      </c>
      <c r="P65" s="140">
        <f t="shared" si="12"/>
        <v>0</v>
      </c>
    </row>
    <row r="66" spans="12:16" x14ac:dyDescent="0.3">
      <c r="L66" s="140">
        <v>10</v>
      </c>
      <c r="M66" s="140">
        <f>RANK(V31,$V$22:$V$31,1)</f>
        <v>10</v>
      </c>
      <c r="N66" s="140">
        <f t="shared" si="13"/>
        <v>0</v>
      </c>
      <c r="O66" s="140">
        <f>RANK(W31,$W$22:$W$31,1)</f>
        <v>10</v>
      </c>
      <c r="P66" s="140">
        <f t="shared" si="12"/>
        <v>0</v>
      </c>
    </row>
    <row r="67" spans="12:16" x14ac:dyDescent="0.3">
      <c r="L67" s="135"/>
      <c r="M67" s="135"/>
      <c r="N67" s="141">
        <f>SUM(N57:N66)/25</f>
        <v>0</v>
      </c>
      <c r="O67" s="135"/>
      <c r="P67" s="141">
        <f>SUM(P57:P66)/25</f>
        <v>0.08</v>
      </c>
    </row>
    <row r="68" spans="12:16" x14ac:dyDescent="0.3">
      <c r="L68" s="135"/>
      <c r="M68" s="135"/>
      <c r="N68" s="135"/>
      <c r="O68" s="135"/>
      <c r="P68" s="135"/>
    </row>
    <row r="69" spans="12:16" x14ac:dyDescent="0.3">
      <c r="L69" s="140"/>
      <c r="M69" s="140"/>
      <c r="N69" s="140"/>
      <c r="O69" s="135"/>
      <c r="P69" s="135"/>
    </row>
  </sheetData>
  <mergeCells count="6">
    <mergeCell ref="X2:AG2"/>
    <mergeCell ref="U20:X20"/>
    <mergeCell ref="L55:L56"/>
    <mergeCell ref="L20:N20"/>
    <mergeCell ref="B2:K2"/>
    <mergeCell ref="M2:V2"/>
  </mergeCells>
  <conditionalFormatting sqref="V22:V3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2:W31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2:X3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K49"/>
  <sheetViews>
    <sheetView showGridLines="0" topLeftCell="A30" zoomScale="90" zoomScaleNormal="90" workbookViewId="0">
      <selection activeCell="AC19" sqref="AC19"/>
    </sheetView>
  </sheetViews>
  <sheetFormatPr defaultColWidth="8.88671875" defaultRowHeight="12" x14ac:dyDescent="0.3"/>
  <cols>
    <col min="1" max="1" width="5.44140625" style="50" customWidth="1"/>
    <col min="2" max="2" width="8.109375" style="50" customWidth="1"/>
    <col min="3" max="3" width="6.44140625" style="50" bestFit="1" customWidth="1"/>
    <col min="4" max="4" width="7.21875" style="50" bestFit="1" customWidth="1"/>
    <col min="5" max="5" width="9.21875" style="50" customWidth="1"/>
    <col min="6" max="6" width="7.5546875" style="50" customWidth="1"/>
    <col min="7" max="7" width="7.6640625" style="50" customWidth="1"/>
    <col min="8" max="8" width="6.77734375" style="50" customWidth="1"/>
    <col min="9" max="9" width="9.44140625" style="50" customWidth="1"/>
    <col min="10" max="10" width="9.21875" style="50" customWidth="1"/>
    <col min="11" max="11" width="8.5546875" style="50" customWidth="1"/>
    <col min="12" max="12" width="9.88671875" style="50" customWidth="1"/>
    <col min="13" max="13" width="7.21875" style="50" customWidth="1"/>
    <col min="14" max="14" width="8.33203125" style="50" customWidth="1"/>
    <col min="15" max="16" width="9.77734375" style="50" customWidth="1"/>
    <col min="17" max="17" width="9.21875" style="50" customWidth="1"/>
    <col min="18" max="19" width="8" style="50" customWidth="1"/>
    <col min="20" max="20" width="9" style="50" customWidth="1"/>
    <col min="21" max="21" width="8" style="50" customWidth="1"/>
    <col min="22" max="22" width="7.5546875" style="50" customWidth="1"/>
    <col min="23" max="23" width="8.88671875" style="50"/>
    <col min="24" max="24" width="5.88671875" style="50" bestFit="1" customWidth="1"/>
    <col min="25" max="25" width="9.21875" style="50" customWidth="1"/>
    <col min="26" max="26" width="7.44140625" style="50" customWidth="1"/>
    <col min="27" max="27" width="6.109375" style="50" customWidth="1"/>
    <col min="28" max="28" width="8.77734375" style="50" customWidth="1"/>
    <col min="29" max="29" width="8.44140625" style="50" customWidth="1"/>
    <col min="30" max="30" width="8.77734375" style="50" customWidth="1"/>
    <col min="31" max="31" width="8.44140625" style="50" customWidth="1"/>
    <col min="32" max="32" width="8.21875" style="50" customWidth="1"/>
    <col min="33" max="16384" width="8.88671875" style="50"/>
  </cols>
  <sheetData>
    <row r="1" spans="2:37" x14ac:dyDescent="0.3">
      <c r="B1" s="66" t="s">
        <v>0</v>
      </c>
    </row>
    <row r="2" spans="2:37" ht="28.8" customHeight="1" x14ac:dyDescent="0.3">
      <c r="B2" s="83" t="s">
        <v>1</v>
      </c>
      <c r="C2" s="84"/>
      <c r="D2" s="84"/>
      <c r="E2" s="84"/>
      <c r="F2" s="84"/>
      <c r="G2" s="84"/>
      <c r="H2" s="84"/>
      <c r="I2" s="84"/>
      <c r="J2" s="84"/>
      <c r="K2" s="85"/>
      <c r="M2" s="86" t="s">
        <v>2</v>
      </c>
      <c r="N2" s="84"/>
      <c r="O2" s="84"/>
      <c r="P2" s="84"/>
      <c r="Q2" s="84"/>
      <c r="R2" s="84"/>
      <c r="S2" s="84"/>
      <c r="T2" s="84"/>
      <c r="U2" s="84"/>
      <c r="V2" s="85"/>
      <c r="X2" s="87" t="s">
        <v>40</v>
      </c>
      <c r="Y2" s="87"/>
      <c r="Z2" s="87"/>
      <c r="AB2" s="88" t="s">
        <v>34</v>
      </c>
      <c r="AC2" s="89"/>
      <c r="AD2" s="89"/>
      <c r="AE2" s="89"/>
      <c r="AF2" s="89"/>
      <c r="AG2" s="89"/>
      <c r="AH2" s="89"/>
      <c r="AI2" s="89"/>
      <c r="AJ2" s="89"/>
      <c r="AK2" s="90"/>
    </row>
    <row r="3" spans="2:37" ht="33.6" customHeight="1" x14ac:dyDescent="0.3">
      <c r="B3" s="19" t="s">
        <v>3</v>
      </c>
      <c r="C3" s="19" t="s">
        <v>4</v>
      </c>
      <c r="D3" s="19" t="s">
        <v>5</v>
      </c>
      <c r="E3" s="19" t="s">
        <v>6</v>
      </c>
      <c r="F3" s="19" t="s">
        <v>7</v>
      </c>
      <c r="G3" s="19" t="s">
        <v>8</v>
      </c>
      <c r="H3" s="19" t="s">
        <v>9</v>
      </c>
      <c r="I3" s="19" t="s">
        <v>10</v>
      </c>
      <c r="J3" s="19" t="s">
        <v>11</v>
      </c>
      <c r="K3" s="19" t="s">
        <v>12</v>
      </c>
      <c r="M3" s="20" t="s">
        <v>3</v>
      </c>
      <c r="N3" s="20" t="s">
        <v>4</v>
      </c>
      <c r="O3" s="20" t="s">
        <v>5</v>
      </c>
      <c r="P3" s="20" t="s">
        <v>6</v>
      </c>
      <c r="Q3" s="20" t="s">
        <v>7</v>
      </c>
      <c r="R3" s="20" t="s">
        <v>8</v>
      </c>
      <c r="S3" s="20" t="s">
        <v>9</v>
      </c>
      <c r="T3" s="20" t="s">
        <v>10</v>
      </c>
      <c r="U3" s="20" t="s">
        <v>11</v>
      </c>
      <c r="V3" s="20" t="s">
        <v>12</v>
      </c>
      <c r="X3" s="20" t="s">
        <v>3</v>
      </c>
      <c r="Y3" s="20" t="s">
        <v>4</v>
      </c>
      <c r="Z3" s="20" t="s">
        <v>5</v>
      </c>
      <c r="AB3" s="27" t="s">
        <v>3</v>
      </c>
      <c r="AC3" s="27" t="s">
        <v>4</v>
      </c>
      <c r="AD3" s="27" t="s">
        <v>5</v>
      </c>
      <c r="AE3" s="27" t="s">
        <v>6</v>
      </c>
      <c r="AF3" s="27" t="s">
        <v>7</v>
      </c>
      <c r="AG3" s="27" t="s">
        <v>8</v>
      </c>
      <c r="AH3" s="27" t="s">
        <v>9</v>
      </c>
      <c r="AI3" s="27" t="s">
        <v>10</v>
      </c>
      <c r="AJ3" s="27" t="s">
        <v>11</v>
      </c>
      <c r="AK3" s="27" t="s">
        <v>12</v>
      </c>
    </row>
    <row r="4" spans="2:37" x14ac:dyDescent="0.3">
      <c r="B4" s="29">
        <v>1</v>
      </c>
      <c r="C4" s="29">
        <v>1969</v>
      </c>
      <c r="D4" s="30">
        <f>C4/$C$14</f>
        <v>0.10094329949759048</v>
      </c>
      <c r="E4" s="29">
        <v>39</v>
      </c>
      <c r="F4" s="29">
        <f t="shared" ref="F4:F13" si="0">C4-E4</f>
        <v>1930</v>
      </c>
      <c r="G4" s="30">
        <f t="shared" ref="G4:G14" si="1">E4/C4</f>
        <v>1.9807008633824275E-2</v>
      </c>
      <c r="H4" s="30">
        <f>E4/$E$14</f>
        <v>1.2867040580666447E-2</v>
      </c>
      <c r="I4" s="30">
        <f>F4/$F$14</f>
        <v>0.11714719271623672</v>
      </c>
      <c r="J4" s="31">
        <f t="shared" ref="J4:J13" si="2">ABS(I4-H4)</f>
        <v>0.10428015213557028</v>
      </c>
      <c r="K4" s="56">
        <f>H4*I4*0.5</f>
        <v>7.536688412954853E-4</v>
      </c>
      <c r="M4" s="29">
        <v>1</v>
      </c>
      <c r="N4" s="29">
        <v>84</v>
      </c>
      <c r="O4" s="30">
        <f t="shared" ref="O4:O13" si="3">N4/$N$14</f>
        <v>2.7550016398819287E-2</v>
      </c>
      <c r="P4" s="29">
        <v>0</v>
      </c>
      <c r="Q4" s="29">
        <f t="shared" ref="Q4:Q13" si="4">N4-P4</f>
        <v>84</v>
      </c>
      <c r="R4" s="30">
        <f t="shared" ref="R4:R14" si="5">P4/N4</f>
        <v>0</v>
      </c>
      <c r="S4" s="30">
        <f>P4/$P$14</f>
        <v>0</v>
      </c>
      <c r="T4" s="30">
        <f>Q4/$Q$14</f>
        <v>3.2672112018669777E-2</v>
      </c>
      <c r="U4" s="31">
        <f t="shared" ref="U4:U13" si="6">ABS(T4-S4)</f>
        <v>3.2672112018669777E-2</v>
      </c>
      <c r="V4" s="56">
        <f>S4*T4*0.5</f>
        <v>0</v>
      </c>
      <c r="X4" s="29">
        <v>1</v>
      </c>
      <c r="Y4" s="29">
        <v>84</v>
      </c>
      <c r="Z4" s="30">
        <f t="shared" ref="Z4:Z13" si="7">Y4/$Y$14</f>
        <v>2.7550016398819287E-2</v>
      </c>
      <c r="AB4" s="29">
        <v>1</v>
      </c>
      <c r="AC4" s="29">
        <v>1969</v>
      </c>
      <c r="AD4" s="30">
        <f t="shared" ref="AD4:AD13" si="8">AC4/$C$14</f>
        <v>0.10094329949759048</v>
      </c>
      <c r="AE4" s="29">
        <v>39</v>
      </c>
      <c r="AF4" s="29">
        <f t="shared" ref="AF4:AF13" si="9">AC4-AE4</f>
        <v>1930</v>
      </c>
      <c r="AG4" s="30">
        <f t="shared" ref="AG4:AG14" si="10">AE4/AC4</f>
        <v>1.9807008633824275E-2</v>
      </c>
      <c r="AH4" s="30">
        <f>AE4/$E$14</f>
        <v>1.2867040580666447E-2</v>
      </c>
      <c r="AI4" s="30">
        <f>AF4/$F$14</f>
        <v>0.11714719271623672</v>
      </c>
      <c r="AJ4" s="31">
        <f t="shared" ref="AJ4:AJ13" si="11">ABS(AI4-AH4)</f>
        <v>0.10428015213557028</v>
      </c>
      <c r="AK4" s="56">
        <f>AH4*AI4*0.5</f>
        <v>7.536688412954853E-4</v>
      </c>
    </row>
    <row r="5" spans="2:37" x14ac:dyDescent="0.3">
      <c r="B5" s="32">
        <v>2</v>
      </c>
      <c r="C5" s="33">
        <v>1999</v>
      </c>
      <c r="D5" s="34">
        <f t="shared" ref="D5:D13" si="12">C5/$C$14</f>
        <v>0.10248128780887931</v>
      </c>
      <c r="E5" s="33">
        <v>89</v>
      </c>
      <c r="F5" s="33">
        <f t="shared" si="0"/>
        <v>1910</v>
      </c>
      <c r="G5" s="34">
        <f t="shared" si="1"/>
        <v>4.4522261130565281E-2</v>
      </c>
      <c r="H5" s="34">
        <f t="shared" ref="H5:H13" si="13">E5/$E$14+H4</f>
        <v>4.2230287033982183E-2</v>
      </c>
      <c r="I5" s="34">
        <f t="shared" ref="I5:I13" si="14">F5/$F$14+I4</f>
        <v>0.23308042488619118</v>
      </c>
      <c r="J5" s="35">
        <f t="shared" si="2"/>
        <v>0.190850137852209</v>
      </c>
      <c r="K5" s="57">
        <f t="shared" ref="K5:K13" si="15">(H5-H4)*(I5+I4)*0.5</f>
        <v>5.1419099252088558E-3</v>
      </c>
      <c r="M5" s="32">
        <v>2</v>
      </c>
      <c r="N5" s="33">
        <v>262</v>
      </c>
      <c r="O5" s="34">
        <f t="shared" si="3"/>
        <v>8.5929813053460147E-2</v>
      </c>
      <c r="P5" s="33">
        <v>14</v>
      </c>
      <c r="Q5" s="33">
        <f t="shared" si="4"/>
        <v>248</v>
      </c>
      <c r="R5" s="34">
        <f t="shared" si="5"/>
        <v>5.3435114503816793E-2</v>
      </c>
      <c r="S5" s="34">
        <f t="shared" ref="S5:S13" si="16">P5/$P$14+S4</f>
        <v>2.9288702928870293E-2</v>
      </c>
      <c r="T5" s="34">
        <f t="shared" ref="T5:T13" si="17">Q5/$Q$14+T4</f>
        <v>0.12913263321664722</v>
      </c>
      <c r="U5" s="35">
        <f t="shared" si="6"/>
        <v>9.9843930287776939E-2</v>
      </c>
      <c r="V5" s="57">
        <f t="shared" ref="V5:V13" si="18">(S5-S4)*(T5+T4)*0.5</f>
        <v>2.3695255578393705E-3</v>
      </c>
      <c r="X5" s="32">
        <v>2</v>
      </c>
      <c r="Y5" s="33">
        <v>262</v>
      </c>
      <c r="Z5" s="30">
        <f t="shared" si="7"/>
        <v>8.5929813053460147E-2</v>
      </c>
      <c r="AB5" s="32">
        <v>2</v>
      </c>
      <c r="AC5" s="33">
        <v>1999</v>
      </c>
      <c r="AD5" s="34">
        <f t="shared" si="8"/>
        <v>0.10248128780887931</v>
      </c>
      <c r="AE5" s="33">
        <v>89</v>
      </c>
      <c r="AF5" s="33">
        <f t="shared" si="9"/>
        <v>1910</v>
      </c>
      <c r="AG5" s="34">
        <f t="shared" si="10"/>
        <v>4.4522261130565281E-2</v>
      </c>
      <c r="AH5" s="34">
        <f t="shared" ref="AH5:AH13" si="19">AE5/$E$14+AH4</f>
        <v>4.2230287033982183E-2</v>
      </c>
      <c r="AI5" s="34">
        <f t="shared" ref="AI5:AI13" si="20">AF5/$F$14+AI4</f>
        <v>0.23308042488619118</v>
      </c>
      <c r="AJ5" s="35">
        <f t="shared" si="11"/>
        <v>0.190850137852209</v>
      </c>
      <c r="AK5" s="57">
        <f t="shared" ref="AK5:AK13" si="21">(AH5-AH4)*(AI5+AI4)*0.5</f>
        <v>5.1419099252088558E-3</v>
      </c>
    </row>
    <row r="6" spans="2:37" x14ac:dyDescent="0.3">
      <c r="B6" s="32">
        <v>3</v>
      </c>
      <c r="C6" s="33">
        <v>1932</v>
      </c>
      <c r="D6" s="34">
        <f t="shared" si="12"/>
        <v>9.9046447247000929E-2</v>
      </c>
      <c r="E6" s="33">
        <v>113</v>
      </c>
      <c r="F6" s="33">
        <f t="shared" si="0"/>
        <v>1819</v>
      </c>
      <c r="G6" s="34">
        <f t="shared" si="1"/>
        <v>5.848861283643892E-2</v>
      </c>
      <c r="H6" s="34">
        <f t="shared" si="13"/>
        <v>7.9511712306169574E-2</v>
      </c>
      <c r="I6" s="34">
        <f t="shared" si="14"/>
        <v>0.34349013657056143</v>
      </c>
      <c r="J6" s="35">
        <f t="shared" si="2"/>
        <v>0.26397842426439189</v>
      </c>
      <c r="K6" s="57">
        <f t="shared" si="15"/>
        <v>1.0747686150546526E-2</v>
      </c>
      <c r="M6" s="32">
        <v>3</v>
      </c>
      <c r="N6" s="33">
        <v>337</v>
      </c>
      <c r="O6" s="34">
        <f t="shared" si="3"/>
        <v>0.11052804198097738</v>
      </c>
      <c r="P6" s="33">
        <v>23</v>
      </c>
      <c r="Q6" s="33">
        <f t="shared" si="4"/>
        <v>314</v>
      </c>
      <c r="R6" s="34">
        <f t="shared" si="5"/>
        <v>6.8249258160237386E-2</v>
      </c>
      <c r="S6" s="34">
        <f t="shared" si="16"/>
        <v>7.7405857740585782E-2</v>
      </c>
      <c r="T6" s="34">
        <f t="shared" si="17"/>
        <v>0.2512640995721509</v>
      </c>
      <c r="U6" s="35">
        <f t="shared" si="6"/>
        <v>0.17385824183156512</v>
      </c>
      <c r="V6" s="57">
        <f t="shared" si="18"/>
        <v>9.1518042407346852E-3</v>
      </c>
      <c r="X6" s="32">
        <v>3</v>
      </c>
      <c r="Y6" s="33">
        <v>337</v>
      </c>
      <c r="Z6" s="30">
        <f t="shared" si="7"/>
        <v>0.11052804198097738</v>
      </c>
      <c r="AB6" s="32">
        <v>3</v>
      </c>
      <c r="AC6" s="33">
        <v>1932</v>
      </c>
      <c r="AD6" s="34">
        <f t="shared" si="8"/>
        <v>9.9046447247000929E-2</v>
      </c>
      <c r="AE6" s="33">
        <v>113</v>
      </c>
      <c r="AF6" s="33">
        <f t="shared" si="9"/>
        <v>1819</v>
      </c>
      <c r="AG6" s="34">
        <f t="shared" si="10"/>
        <v>5.848861283643892E-2</v>
      </c>
      <c r="AH6" s="34">
        <f t="shared" si="19"/>
        <v>7.9511712306169574E-2</v>
      </c>
      <c r="AI6" s="34">
        <f t="shared" si="20"/>
        <v>0.34349013657056143</v>
      </c>
      <c r="AJ6" s="35">
        <f t="shared" si="11"/>
        <v>0.26397842426439189</v>
      </c>
      <c r="AK6" s="57">
        <f t="shared" si="21"/>
        <v>1.0747686150546526E-2</v>
      </c>
    </row>
    <row r="7" spans="2:37" x14ac:dyDescent="0.3">
      <c r="B7" s="32">
        <v>4</v>
      </c>
      <c r="C7" s="33">
        <v>1937</v>
      </c>
      <c r="D7" s="34">
        <f t="shared" si="12"/>
        <v>9.9302778632215732E-2</v>
      </c>
      <c r="E7" s="33">
        <v>161</v>
      </c>
      <c r="F7" s="33">
        <f t="shared" si="0"/>
        <v>1776</v>
      </c>
      <c r="G7" s="34">
        <f t="shared" si="1"/>
        <v>8.3118224057821377E-2</v>
      </c>
      <c r="H7" s="34">
        <f t="shared" si="13"/>
        <v>0.13262949521610029</v>
      </c>
      <c r="I7" s="34">
        <f t="shared" si="14"/>
        <v>0.45128983308042486</v>
      </c>
      <c r="J7" s="35">
        <f t="shared" si="2"/>
        <v>0.31866033786432457</v>
      </c>
      <c r="K7" s="57">
        <f t="shared" si="15"/>
        <v>2.1108474944541208E-2</v>
      </c>
      <c r="M7" s="32">
        <v>4</v>
      </c>
      <c r="N7" s="33">
        <v>287</v>
      </c>
      <c r="O7" s="34">
        <f t="shared" si="3"/>
        <v>9.4129222695965895E-2</v>
      </c>
      <c r="P7" s="33">
        <v>25</v>
      </c>
      <c r="Q7" s="33">
        <f t="shared" si="4"/>
        <v>262</v>
      </c>
      <c r="R7" s="34">
        <f t="shared" si="5"/>
        <v>8.7108013937282236E-2</v>
      </c>
      <c r="S7" s="34">
        <f t="shared" si="16"/>
        <v>0.1297071129707113</v>
      </c>
      <c r="T7" s="34">
        <f t="shared" si="17"/>
        <v>0.35316997277323997</v>
      </c>
      <c r="U7" s="35">
        <f t="shared" si="6"/>
        <v>0.22346285980252867</v>
      </c>
      <c r="V7" s="57">
        <f t="shared" si="18"/>
        <v>1.5806330343760222E-2</v>
      </c>
      <c r="X7" s="32">
        <v>4</v>
      </c>
      <c r="Y7" s="33">
        <v>287</v>
      </c>
      <c r="Z7" s="30">
        <f t="shared" si="7"/>
        <v>9.4129222695965895E-2</v>
      </c>
      <c r="AB7" s="32">
        <v>4</v>
      </c>
      <c r="AC7" s="33">
        <v>1937</v>
      </c>
      <c r="AD7" s="34">
        <f t="shared" si="8"/>
        <v>9.9302778632215732E-2</v>
      </c>
      <c r="AE7" s="33">
        <v>161</v>
      </c>
      <c r="AF7" s="33">
        <f t="shared" si="9"/>
        <v>1776</v>
      </c>
      <c r="AG7" s="34">
        <f t="shared" si="10"/>
        <v>8.3118224057821377E-2</v>
      </c>
      <c r="AH7" s="34">
        <f t="shared" si="19"/>
        <v>0.13262949521610029</v>
      </c>
      <c r="AI7" s="34">
        <f t="shared" si="20"/>
        <v>0.45128983308042486</v>
      </c>
      <c r="AJ7" s="35">
        <f t="shared" si="11"/>
        <v>0.31866033786432457</v>
      </c>
      <c r="AK7" s="57">
        <f t="shared" si="21"/>
        <v>2.1108474944541208E-2</v>
      </c>
    </row>
    <row r="8" spans="2:37" x14ac:dyDescent="0.3">
      <c r="B8" s="32">
        <v>5</v>
      </c>
      <c r="C8" s="33">
        <v>1975</v>
      </c>
      <c r="D8" s="34">
        <f t="shared" si="12"/>
        <v>0.10125089715984825</v>
      </c>
      <c r="E8" s="33">
        <v>202</v>
      </c>
      <c r="F8" s="33">
        <f t="shared" si="0"/>
        <v>1773</v>
      </c>
      <c r="G8" s="34">
        <f t="shared" si="1"/>
        <v>0.10227848101265823</v>
      </c>
      <c r="H8" s="34">
        <f t="shared" si="13"/>
        <v>0.19927416694160344</v>
      </c>
      <c r="I8" s="34">
        <f t="shared" si="14"/>
        <v>0.55890743550834598</v>
      </c>
      <c r="J8" s="35">
        <f t="shared" si="2"/>
        <v>0.35963326856674255</v>
      </c>
      <c r="K8" s="57">
        <f t="shared" si="15"/>
        <v>3.3662132671549279E-2</v>
      </c>
      <c r="M8" s="32">
        <v>5</v>
      </c>
      <c r="N8" s="33">
        <v>328</v>
      </c>
      <c r="O8" s="34">
        <f t="shared" si="3"/>
        <v>0.1075762545096753</v>
      </c>
      <c r="P8" s="33">
        <v>40</v>
      </c>
      <c r="Q8" s="33">
        <f t="shared" si="4"/>
        <v>288</v>
      </c>
      <c r="R8" s="34">
        <f t="shared" si="5"/>
        <v>0.12195121951219512</v>
      </c>
      <c r="S8" s="34">
        <f t="shared" si="16"/>
        <v>0.21338912133891214</v>
      </c>
      <c r="T8" s="34">
        <f t="shared" si="17"/>
        <v>0.46518864255153636</v>
      </c>
      <c r="U8" s="35">
        <f t="shared" si="6"/>
        <v>0.25179952121262422</v>
      </c>
      <c r="V8" s="57">
        <f t="shared" si="18"/>
        <v>3.4240946247898592E-2</v>
      </c>
      <c r="X8" s="32">
        <v>5</v>
      </c>
      <c r="Y8" s="33">
        <v>328</v>
      </c>
      <c r="Z8" s="30">
        <f t="shared" si="7"/>
        <v>0.1075762545096753</v>
      </c>
      <c r="AB8" s="32">
        <v>5</v>
      </c>
      <c r="AC8" s="33">
        <v>1975</v>
      </c>
      <c r="AD8" s="34">
        <f t="shared" si="8"/>
        <v>0.10125089715984825</v>
      </c>
      <c r="AE8" s="33">
        <v>202</v>
      </c>
      <c r="AF8" s="33">
        <f t="shared" si="9"/>
        <v>1773</v>
      </c>
      <c r="AG8" s="34">
        <f t="shared" si="10"/>
        <v>0.10227848101265823</v>
      </c>
      <c r="AH8" s="34">
        <f t="shared" si="19"/>
        <v>0.19927416694160344</v>
      </c>
      <c r="AI8" s="34">
        <f t="shared" si="20"/>
        <v>0.55890743550834598</v>
      </c>
      <c r="AJ8" s="35">
        <f t="shared" si="11"/>
        <v>0.35963326856674255</v>
      </c>
      <c r="AK8" s="57">
        <f t="shared" si="21"/>
        <v>3.3662132671549279E-2</v>
      </c>
    </row>
    <row r="9" spans="2:37" x14ac:dyDescent="0.3">
      <c r="B9" s="32">
        <v>6</v>
      </c>
      <c r="C9" s="33">
        <v>1972</v>
      </c>
      <c r="D9" s="34">
        <f t="shared" si="12"/>
        <v>0.10109709832871937</v>
      </c>
      <c r="E9" s="33">
        <v>262</v>
      </c>
      <c r="F9" s="33">
        <f t="shared" si="0"/>
        <v>1710</v>
      </c>
      <c r="G9" s="34">
        <f t="shared" si="1"/>
        <v>0.13286004056795131</v>
      </c>
      <c r="H9" s="34">
        <f t="shared" si="13"/>
        <v>0.2857142857142857</v>
      </c>
      <c r="I9" s="34">
        <f t="shared" si="14"/>
        <v>0.66270106221547798</v>
      </c>
      <c r="J9" s="35">
        <f t="shared" si="2"/>
        <v>0.37698677650119228</v>
      </c>
      <c r="K9" s="57">
        <f t="shared" si="15"/>
        <v>5.2797991818482645E-2</v>
      </c>
      <c r="M9" s="32">
        <v>6</v>
      </c>
      <c r="N9" s="33">
        <v>374</v>
      </c>
      <c r="O9" s="34">
        <f t="shared" si="3"/>
        <v>0.12266316825188586</v>
      </c>
      <c r="P9" s="33">
        <v>55</v>
      </c>
      <c r="Q9" s="33">
        <f t="shared" si="4"/>
        <v>319</v>
      </c>
      <c r="R9" s="34">
        <f t="shared" si="5"/>
        <v>0.14705882352941177</v>
      </c>
      <c r="S9" s="34">
        <f t="shared" si="16"/>
        <v>0.32845188284518828</v>
      </c>
      <c r="T9" s="34">
        <f t="shared" si="17"/>
        <v>0.5892648774795799</v>
      </c>
      <c r="U9" s="35">
        <f t="shared" si="6"/>
        <v>0.26081299463439162</v>
      </c>
      <c r="V9" s="57">
        <f t="shared" si="18"/>
        <v>6.0664166947396854E-2</v>
      </c>
      <c r="X9" s="32">
        <v>6</v>
      </c>
      <c r="Y9" s="33">
        <v>374</v>
      </c>
      <c r="Z9" s="30">
        <f t="shared" si="7"/>
        <v>0.12266316825188586</v>
      </c>
      <c r="AB9" s="32">
        <v>6</v>
      </c>
      <c r="AC9" s="33">
        <v>1972</v>
      </c>
      <c r="AD9" s="34">
        <f t="shared" si="8"/>
        <v>0.10109709832871937</v>
      </c>
      <c r="AE9" s="33">
        <v>262</v>
      </c>
      <c r="AF9" s="33">
        <f t="shared" si="9"/>
        <v>1710</v>
      </c>
      <c r="AG9" s="34">
        <f t="shared" si="10"/>
        <v>0.13286004056795131</v>
      </c>
      <c r="AH9" s="34">
        <f t="shared" si="19"/>
        <v>0.2857142857142857</v>
      </c>
      <c r="AI9" s="34">
        <f t="shared" si="20"/>
        <v>0.66270106221547798</v>
      </c>
      <c r="AJ9" s="35">
        <f t="shared" si="11"/>
        <v>0.37698677650119228</v>
      </c>
      <c r="AK9" s="57">
        <f t="shared" si="21"/>
        <v>5.2797991818482645E-2</v>
      </c>
    </row>
    <row r="10" spans="2:37" x14ac:dyDescent="0.3">
      <c r="B10" s="33">
        <v>7</v>
      </c>
      <c r="C10" s="33">
        <v>1886</v>
      </c>
      <c r="D10" s="34">
        <f t="shared" si="12"/>
        <v>9.6688198503024708E-2</v>
      </c>
      <c r="E10" s="33">
        <v>311</v>
      </c>
      <c r="F10" s="33">
        <f t="shared" si="0"/>
        <v>1575</v>
      </c>
      <c r="G10" s="34">
        <f t="shared" si="1"/>
        <v>0.16489925768822905</v>
      </c>
      <c r="H10" s="34">
        <f t="shared" si="13"/>
        <v>0.38832068624216431</v>
      </c>
      <c r="I10" s="34">
        <f t="shared" si="14"/>
        <v>0.75830045523520484</v>
      </c>
      <c r="J10" s="35">
        <f t="shared" si="2"/>
        <v>0.36997976899304053</v>
      </c>
      <c r="K10" s="57">
        <f t="shared" si="15"/>
        <v>7.2901925425134018E-2</v>
      </c>
      <c r="M10" s="33">
        <v>7</v>
      </c>
      <c r="N10" s="33">
        <v>389</v>
      </c>
      <c r="O10" s="34">
        <f t="shared" si="3"/>
        <v>0.1275828140373893</v>
      </c>
      <c r="P10" s="33">
        <v>72</v>
      </c>
      <c r="Q10" s="33">
        <f t="shared" si="4"/>
        <v>317</v>
      </c>
      <c r="R10" s="34">
        <f t="shared" si="5"/>
        <v>0.18508997429305912</v>
      </c>
      <c r="S10" s="34">
        <f t="shared" si="16"/>
        <v>0.47907949790794979</v>
      </c>
      <c r="T10" s="34">
        <f t="shared" si="17"/>
        <v>0.71256320497860748</v>
      </c>
      <c r="U10" s="35">
        <f t="shared" si="6"/>
        <v>0.23348370707065769</v>
      </c>
      <c r="V10" s="57">
        <f t="shared" si="18"/>
        <v>9.8045629641202406E-2</v>
      </c>
      <c r="X10" s="33">
        <v>7</v>
      </c>
      <c r="Y10" s="33">
        <v>389</v>
      </c>
      <c r="Z10" s="30">
        <f t="shared" si="7"/>
        <v>0.1275828140373893</v>
      </c>
      <c r="AB10" s="33">
        <v>7</v>
      </c>
      <c r="AC10" s="33">
        <v>1886</v>
      </c>
      <c r="AD10" s="34">
        <f t="shared" si="8"/>
        <v>9.6688198503024708E-2</v>
      </c>
      <c r="AE10" s="33">
        <v>311</v>
      </c>
      <c r="AF10" s="33">
        <f t="shared" si="9"/>
        <v>1575</v>
      </c>
      <c r="AG10" s="34">
        <f t="shared" si="10"/>
        <v>0.16489925768822905</v>
      </c>
      <c r="AH10" s="34">
        <f t="shared" si="19"/>
        <v>0.38832068624216431</v>
      </c>
      <c r="AI10" s="34">
        <f t="shared" si="20"/>
        <v>0.75830045523520484</v>
      </c>
      <c r="AJ10" s="35">
        <f t="shared" si="11"/>
        <v>0.36997976899304053</v>
      </c>
      <c r="AK10" s="57">
        <f t="shared" si="21"/>
        <v>7.2901925425134018E-2</v>
      </c>
    </row>
    <row r="11" spans="2:37" x14ac:dyDescent="0.3">
      <c r="B11" s="33">
        <v>8</v>
      </c>
      <c r="C11" s="33">
        <v>1961</v>
      </c>
      <c r="D11" s="34">
        <f t="shared" si="12"/>
        <v>0.1005331692812468</v>
      </c>
      <c r="E11" s="33">
        <v>441</v>
      </c>
      <c r="F11" s="33">
        <f t="shared" si="0"/>
        <v>1520</v>
      </c>
      <c r="G11" s="34">
        <f t="shared" si="1"/>
        <v>0.22488526262111166</v>
      </c>
      <c r="H11" s="34">
        <f t="shared" si="13"/>
        <v>0.53381722203893101</v>
      </c>
      <c r="I11" s="34">
        <f t="shared" si="14"/>
        <v>0.85056145675265549</v>
      </c>
      <c r="J11" s="35">
        <f t="shared" si="2"/>
        <v>0.31674423471372448</v>
      </c>
      <c r="K11" s="57">
        <f t="shared" si="15"/>
        <v>0.11704191738479812</v>
      </c>
      <c r="M11" s="33">
        <v>8</v>
      </c>
      <c r="N11" s="33">
        <v>457</v>
      </c>
      <c r="O11" s="34">
        <f t="shared" si="3"/>
        <v>0.14988520826500493</v>
      </c>
      <c r="P11" s="33">
        <v>109</v>
      </c>
      <c r="Q11" s="33">
        <f t="shared" si="4"/>
        <v>348</v>
      </c>
      <c r="R11" s="34">
        <f t="shared" si="5"/>
        <v>0.23851203501094093</v>
      </c>
      <c r="S11" s="34">
        <f t="shared" si="16"/>
        <v>0.70711297071129708</v>
      </c>
      <c r="T11" s="34">
        <f t="shared" si="17"/>
        <v>0.84791909762738227</v>
      </c>
      <c r="U11" s="35">
        <f t="shared" si="6"/>
        <v>0.14080612691608518</v>
      </c>
      <c r="V11" s="57">
        <f t="shared" si="18"/>
        <v>0.17792109935570385</v>
      </c>
      <c r="X11" s="33">
        <v>8</v>
      </c>
      <c r="Y11" s="33">
        <v>457</v>
      </c>
      <c r="Z11" s="30">
        <f t="shared" si="7"/>
        <v>0.14988520826500493</v>
      </c>
      <c r="AB11" s="33">
        <v>8</v>
      </c>
      <c r="AC11" s="33">
        <v>1961</v>
      </c>
      <c r="AD11" s="34">
        <f t="shared" si="8"/>
        <v>0.1005331692812468</v>
      </c>
      <c r="AE11" s="33">
        <v>441</v>
      </c>
      <c r="AF11" s="33">
        <f t="shared" si="9"/>
        <v>1520</v>
      </c>
      <c r="AG11" s="34">
        <f t="shared" si="10"/>
        <v>0.22488526262111166</v>
      </c>
      <c r="AH11" s="34">
        <f t="shared" si="19"/>
        <v>0.53381722203893101</v>
      </c>
      <c r="AI11" s="34">
        <f t="shared" si="20"/>
        <v>0.85056145675265549</v>
      </c>
      <c r="AJ11" s="35">
        <f t="shared" si="11"/>
        <v>0.31674423471372448</v>
      </c>
      <c r="AK11" s="57">
        <f t="shared" si="21"/>
        <v>0.11704191738479812</v>
      </c>
    </row>
    <row r="12" spans="2:37" x14ac:dyDescent="0.3">
      <c r="B12" s="33">
        <v>9</v>
      </c>
      <c r="C12" s="33">
        <v>1959</v>
      </c>
      <c r="D12" s="34">
        <f t="shared" si="12"/>
        <v>0.10043063672716088</v>
      </c>
      <c r="E12" s="33">
        <v>565</v>
      </c>
      <c r="F12" s="33">
        <f t="shared" si="0"/>
        <v>1394</v>
      </c>
      <c r="G12" s="34">
        <f t="shared" si="1"/>
        <v>0.28841245533435428</v>
      </c>
      <c r="H12" s="34">
        <f t="shared" si="13"/>
        <v>0.72022434839986804</v>
      </c>
      <c r="I12" s="34">
        <f t="shared" si="14"/>
        <v>0.93517450682852798</v>
      </c>
      <c r="J12" s="35">
        <f t="shared" si="2"/>
        <v>0.21495015842865994</v>
      </c>
      <c r="K12" s="57">
        <f t="shared" si="15"/>
        <v>0.16643695470527367</v>
      </c>
      <c r="M12" s="33">
        <v>9</v>
      </c>
      <c r="N12" s="33">
        <v>393</v>
      </c>
      <c r="O12" s="34">
        <f t="shared" si="3"/>
        <v>0.12889471958019022</v>
      </c>
      <c r="P12" s="33">
        <v>94</v>
      </c>
      <c r="Q12" s="33">
        <f t="shared" si="4"/>
        <v>299</v>
      </c>
      <c r="R12" s="34">
        <f t="shared" si="5"/>
        <v>0.23918575063613232</v>
      </c>
      <c r="S12" s="34">
        <f t="shared" si="16"/>
        <v>0.90376569037656906</v>
      </c>
      <c r="T12" s="34">
        <f t="shared" si="17"/>
        <v>0.96421625826526636</v>
      </c>
      <c r="U12" s="35">
        <f t="shared" si="6"/>
        <v>6.0450567888697293E-2</v>
      </c>
      <c r="V12" s="57">
        <f t="shared" si="18"/>
        <v>0.17818067306894247</v>
      </c>
      <c r="X12" s="33">
        <v>9</v>
      </c>
      <c r="Y12" s="33">
        <v>393</v>
      </c>
      <c r="Z12" s="30">
        <f t="shared" si="7"/>
        <v>0.12889471958019022</v>
      </c>
      <c r="AB12" s="33">
        <v>9</v>
      </c>
      <c r="AC12" s="33">
        <v>1959</v>
      </c>
      <c r="AD12" s="34">
        <f t="shared" si="8"/>
        <v>0.10043063672716088</v>
      </c>
      <c r="AE12" s="33">
        <v>565</v>
      </c>
      <c r="AF12" s="33">
        <f t="shared" si="9"/>
        <v>1394</v>
      </c>
      <c r="AG12" s="34">
        <f t="shared" si="10"/>
        <v>0.28841245533435428</v>
      </c>
      <c r="AH12" s="34">
        <f t="shared" si="19"/>
        <v>0.72022434839986804</v>
      </c>
      <c r="AI12" s="34">
        <f t="shared" si="20"/>
        <v>0.93517450682852798</v>
      </c>
      <c r="AJ12" s="35">
        <f t="shared" si="11"/>
        <v>0.21495015842865994</v>
      </c>
      <c r="AK12" s="57">
        <f t="shared" si="21"/>
        <v>0.16643695470527367</v>
      </c>
    </row>
    <row r="13" spans="2:37" x14ac:dyDescent="0.3">
      <c r="B13" s="36">
        <v>10</v>
      </c>
      <c r="C13" s="36">
        <v>1916</v>
      </c>
      <c r="D13" s="37">
        <f t="shared" si="12"/>
        <v>9.822618681431354E-2</v>
      </c>
      <c r="E13" s="36">
        <v>848</v>
      </c>
      <c r="F13" s="36">
        <f t="shared" si="0"/>
        <v>1068</v>
      </c>
      <c r="G13" s="37">
        <f t="shared" si="1"/>
        <v>0.44258872651356995</v>
      </c>
      <c r="H13" s="37">
        <f t="shared" si="13"/>
        <v>1</v>
      </c>
      <c r="I13" s="37">
        <f t="shared" si="14"/>
        <v>0.99999999999999989</v>
      </c>
      <c r="J13" s="38">
        <f t="shared" si="2"/>
        <v>1.1102230246251565E-16</v>
      </c>
      <c r="K13" s="58">
        <f t="shared" si="15"/>
        <v>0.2707073543039577</v>
      </c>
      <c r="M13" s="36">
        <v>10</v>
      </c>
      <c r="N13" s="36">
        <v>138</v>
      </c>
      <c r="O13" s="37">
        <f t="shared" si="3"/>
        <v>4.5260741226631686E-2</v>
      </c>
      <c r="P13" s="36">
        <v>46</v>
      </c>
      <c r="Q13" s="36">
        <f t="shared" si="4"/>
        <v>92</v>
      </c>
      <c r="R13" s="37">
        <f t="shared" si="5"/>
        <v>0.33333333333333331</v>
      </c>
      <c r="S13" s="37">
        <f t="shared" si="16"/>
        <v>1</v>
      </c>
      <c r="T13" s="37">
        <f t="shared" si="17"/>
        <v>0.99999999999999989</v>
      </c>
      <c r="U13" s="38">
        <f t="shared" si="6"/>
        <v>1.1102230246251565E-16</v>
      </c>
      <c r="V13" s="58">
        <f t="shared" si="18"/>
        <v>9.4512497782638302E-2</v>
      </c>
      <c r="X13" s="36">
        <v>10</v>
      </c>
      <c r="Y13" s="36">
        <v>138</v>
      </c>
      <c r="Z13" s="30">
        <f t="shared" si="7"/>
        <v>4.5260741226631686E-2</v>
      </c>
      <c r="AB13" s="36">
        <v>10</v>
      </c>
      <c r="AC13" s="36">
        <v>1916</v>
      </c>
      <c r="AD13" s="37">
        <f t="shared" si="8"/>
        <v>9.822618681431354E-2</v>
      </c>
      <c r="AE13" s="36">
        <v>848</v>
      </c>
      <c r="AF13" s="36">
        <f t="shared" si="9"/>
        <v>1068</v>
      </c>
      <c r="AG13" s="37">
        <f t="shared" si="10"/>
        <v>0.44258872651356995</v>
      </c>
      <c r="AH13" s="37">
        <f t="shared" si="19"/>
        <v>1</v>
      </c>
      <c r="AI13" s="37">
        <f t="shared" si="20"/>
        <v>0.99999999999999989</v>
      </c>
      <c r="AJ13" s="38">
        <f t="shared" si="11"/>
        <v>1.1102230246251565E-16</v>
      </c>
      <c r="AK13" s="58">
        <f t="shared" si="21"/>
        <v>0.2707073543039577</v>
      </c>
    </row>
    <row r="14" spans="2:37" ht="15.6" x14ac:dyDescent="0.3">
      <c r="B14" s="39" t="s">
        <v>13</v>
      </c>
      <c r="C14" s="39">
        <f>SUM(C4:C13)</f>
        <v>19506</v>
      </c>
      <c r="D14" s="40">
        <f>SUM(D4:D13)</f>
        <v>0.99999999999999989</v>
      </c>
      <c r="E14" s="39">
        <f>SUM(E4:E13)</f>
        <v>3031</v>
      </c>
      <c r="F14" s="39">
        <f>SUM(F4:F13)</f>
        <v>16475</v>
      </c>
      <c r="G14" s="40">
        <f t="shared" si="1"/>
        <v>0.15538808571721521</v>
      </c>
      <c r="H14" s="39"/>
      <c r="I14" s="55" t="s">
        <v>14</v>
      </c>
      <c r="J14" s="59">
        <v>38.243184484367063</v>
      </c>
      <c r="K14" s="42">
        <f>SUM(K4:K13)</f>
        <v>0.75130001617078745</v>
      </c>
      <c r="M14" s="39" t="s">
        <v>13</v>
      </c>
      <c r="N14" s="39">
        <f>SUM(N4:N13)</f>
        <v>3049</v>
      </c>
      <c r="O14" s="40">
        <f>SUM(O4:O13)</f>
        <v>1</v>
      </c>
      <c r="P14" s="39">
        <f>SUM(P4:P13)</f>
        <v>478</v>
      </c>
      <c r="Q14" s="39">
        <f>SUM(Q4:Q13)</f>
        <v>2571</v>
      </c>
      <c r="R14" s="40">
        <f t="shared" si="5"/>
        <v>0.15677271236470974</v>
      </c>
      <c r="S14" s="39"/>
      <c r="T14" s="26" t="s">
        <v>14</v>
      </c>
      <c r="U14" s="60">
        <v>27.55403445902072</v>
      </c>
      <c r="V14" s="42">
        <f>SUM(V4:V13)</f>
        <v>0.67089267318611667</v>
      </c>
      <c r="X14" s="39" t="s">
        <v>13</v>
      </c>
      <c r="Y14" s="39">
        <f>SUM(Y4:Y13)</f>
        <v>3049</v>
      </c>
      <c r="Z14" s="40">
        <f>SUM(Z4:Z13)</f>
        <v>1</v>
      </c>
      <c r="AB14" s="39" t="s">
        <v>13</v>
      </c>
      <c r="AC14" s="39">
        <f>SUM(AC4:AC13)</f>
        <v>19506</v>
      </c>
      <c r="AD14" s="40">
        <f>SUM(AD4:AD13)</f>
        <v>0.99999999999999989</v>
      </c>
      <c r="AE14" s="39">
        <f>SUM(AE4:AE13)</f>
        <v>3031</v>
      </c>
      <c r="AF14" s="39">
        <f>SUM(AF4:AF13)</f>
        <v>16475</v>
      </c>
      <c r="AG14" s="40">
        <f t="shared" si="10"/>
        <v>0.15538808571721521</v>
      </c>
      <c r="AH14" s="39"/>
      <c r="AI14" s="43" t="s">
        <v>14</v>
      </c>
      <c r="AJ14" s="61">
        <v>38.243184484367099</v>
      </c>
      <c r="AK14" s="42">
        <f>SUM(AK4:AK13)</f>
        <v>0.75130001617078745</v>
      </c>
    </row>
    <row r="15" spans="2:37" x14ac:dyDescent="0.3">
      <c r="J15" s="39" t="s">
        <v>15</v>
      </c>
      <c r="K15" s="42">
        <f>K14*2-1</f>
        <v>0.50260003234157491</v>
      </c>
      <c r="U15" s="39" t="s">
        <v>15</v>
      </c>
      <c r="V15" s="42">
        <f>V14*2-1</f>
        <v>0.34178534637223335</v>
      </c>
      <c r="AJ15" s="39" t="s">
        <v>15</v>
      </c>
      <c r="AK15" s="42">
        <f>AK14*2-1</f>
        <v>0.50260003234157491</v>
      </c>
    </row>
    <row r="16" spans="2:37" x14ac:dyDescent="0.3">
      <c r="J16" s="25"/>
      <c r="K16" s="44"/>
      <c r="U16" s="25"/>
      <c r="V16" s="44"/>
    </row>
    <row r="17" spans="2:22" x14ac:dyDescent="0.3">
      <c r="J17" s="25"/>
      <c r="K17" s="44"/>
      <c r="U17" s="25"/>
      <c r="V17" s="44"/>
    </row>
    <row r="18" spans="2:22" ht="12" customHeight="1" x14ac:dyDescent="0.3"/>
    <row r="19" spans="2:22" ht="31.8" customHeight="1" x14ac:dyDescent="0.3">
      <c r="H19" s="91" t="str">
        <f>_xlfn.CONCAT("Tierwise Bad Rates (",B21,")")</f>
        <v>Tierwise Bad Rates (6pd_30)</v>
      </c>
      <c r="I19" s="92"/>
      <c r="J19" s="92"/>
      <c r="K19" s="92"/>
      <c r="L19" s="67"/>
      <c r="M19" s="97" t="s">
        <v>16</v>
      </c>
      <c r="N19" s="97"/>
      <c r="O19" s="97"/>
      <c r="P19" s="97"/>
    </row>
    <row r="20" spans="2:22" ht="46.8" customHeight="1" x14ac:dyDescent="0.3">
      <c r="B20" s="93" t="s">
        <v>19</v>
      </c>
      <c r="C20" s="85"/>
      <c r="D20" s="41" t="s">
        <v>39</v>
      </c>
      <c r="E20" s="26" t="s">
        <v>38</v>
      </c>
      <c r="F20" s="39" t="s">
        <v>20</v>
      </c>
      <c r="H20" s="45" t="s">
        <v>3</v>
      </c>
      <c r="I20" s="17" t="s">
        <v>17</v>
      </c>
      <c r="J20" s="18" t="s">
        <v>18</v>
      </c>
      <c r="K20" s="28" t="s">
        <v>35</v>
      </c>
      <c r="L20" s="46"/>
      <c r="M20" s="26" t="s">
        <v>3</v>
      </c>
      <c r="N20" s="75" t="s">
        <v>41</v>
      </c>
      <c r="O20" s="41" t="s">
        <v>36</v>
      </c>
      <c r="P20" s="43" t="s">
        <v>37</v>
      </c>
    </row>
    <row r="21" spans="2:22" ht="14.4" x14ac:dyDescent="0.3">
      <c r="B21" s="94" t="s">
        <v>21</v>
      </c>
      <c r="C21" s="85"/>
      <c r="D21" s="62">
        <f>J14</f>
        <v>38.243184484367063</v>
      </c>
      <c r="E21" s="63">
        <f>U14</f>
        <v>27.55403445902072</v>
      </c>
      <c r="F21" s="47">
        <f>D21-E21</f>
        <v>10.689150025346343</v>
      </c>
      <c r="H21" s="33">
        <v>1</v>
      </c>
      <c r="I21" s="64">
        <f t="shared" ref="I21:I30" si="22">G4</f>
        <v>1.9807008633824275E-2</v>
      </c>
      <c r="J21" s="34">
        <f t="shared" ref="J21:J30" si="23">R4</f>
        <v>0</v>
      </c>
      <c r="K21" s="34">
        <f t="shared" ref="K21:K30" si="24">AG4</f>
        <v>1.9807008633824275E-2</v>
      </c>
      <c r="L21" s="48"/>
      <c r="M21" s="49">
        <v>1</v>
      </c>
      <c r="N21" s="68">
        <f t="shared" ref="N21:N30" si="25">(Z4-D4)*LN(Z4/D4)</f>
        <v>9.5305276183005688E-2</v>
      </c>
      <c r="O21" s="68">
        <f t="shared" ref="O21:O30" si="26">(O4-D4)*LN(O4/D4)</f>
        <v>9.5305276183005688E-2</v>
      </c>
      <c r="P21" s="68">
        <f t="shared" ref="P21:P30" si="27">(O4-AD4)*LN(O4/AD4)</f>
        <v>9.5305276183005688E-2</v>
      </c>
    </row>
    <row r="22" spans="2:22" ht="14.4" x14ac:dyDescent="0.3">
      <c r="B22" s="96" t="s">
        <v>22</v>
      </c>
      <c r="C22" s="84"/>
      <c r="D22" s="85"/>
      <c r="E22" s="51">
        <v>0.1962408542278711</v>
      </c>
      <c r="F22" s="47">
        <f>E22</f>
        <v>0.1962408542278711</v>
      </c>
      <c r="H22" s="33">
        <v>2</v>
      </c>
      <c r="I22" s="64">
        <f t="shared" si="22"/>
        <v>4.4522261130565281E-2</v>
      </c>
      <c r="J22" s="34">
        <f t="shared" si="23"/>
        <v>5.3435114503816793E-2</v>
      </c>
      <c r="K22" s="34">
        <f t="shared" si="24"/>
        <v>4.4522261130565281E-2</v>
      </c>
      <c r="L22" s="48"/>
      <c r="M22" s="49">
        <v>2</v>
      </c>
      <c r="N22" s="68">
        <f t="shared" si="25"/>
        <v>2.915532151901966E-3</v>
      </c>
      <c r="O22" s="68">
        <f t="shared" si="26"/>
        <v>2.915532151901966E-3</v>
      </c>
      <c r="P22" s="68">
        <f t="shared" si="27"/>
        <v>2.915532151901966E-3</v>
      </c>
    </row>
    <row r="23" spans="2:22" ht="14.4" x14ac:dyDescent="0.3">
      <c r="B23" s="95" t="s">
        <v>23</v>
      </c>
      <c r="C23" s="84"/>
      <c r="D23" s="85"/>
      <c r="E23" s="51"/>
      <c r="F23" s="47">
        <f>E23</f>
        <v>0</v>
      </c>
      <c r="H23" s="33">
        <v>3</v>
      </c>
      <c r="I23" s="64">
        <f t="shared" si="22"/>
        <v>5.848861283643892E-2</v>
      </c>
      <c r="J23" s="34">
        <f t="shared" si="23"/>
        <v>6.8249258160237386E-2</v>
      </c>
      <c r="K23" s="34">
        <f t="shared" si="24"/>
        <v>5.848861283643892E-2</v>
      </c>
      <c r="L23" s="48"/>
      <c r="M23" s="49">
        <v>3</v>
      </c>
      <c r="N23" s="68">
        <f t="shared" si="25"/>
        <v>1.2593054222526229E-3</v>
      </c>
      <c r="O23" s="68">
        <f t="shared" si="26"/>
        <v>1.2593054222526229E-3</v>
      </c>
      <c r="P23" s="68">
        <f t="shared" si="27"/>
        <v>1.2593054222526229E-3</v>
      </c>
    </row>
    <row r="24" spans="2:22" x14ac:dyDescent="0.3">
      <c r="H24" s="33">
        <v>4</v>
      </c>
      <c r="I24" s="64">
        <f t="shared" si="22"/>
        <v>8.3118224057821377E-2</v>
      </c>
      <c r="J24" s="34">
        <f t="shared" si="23"/>
        <v>8.7108013937282236E-2</v>
      </c>
      <c r="K24" s="34">
        <f t="shared" si="24"/>
        <v>8.3118224057821377E-2</v>
      </c>
      <c r="L24" s="48"/>
      <c r="M24" s="49">
        <v>4</v>
      </c>
      <c r="N24" s="68">
        <f t="shared" si="25"/>
        <v>2.7681113677316589E-4</v>
      </c>
      <c r="O24" s="68">
        <f t="shared" si="26"/>
        <v>2.7681113677316589E-4</v>
      </c>
      <c r="P24" s="68">
        <f t="shared" si="27"/>
        <v>2.7681113677316589E-4</v>
      </c>
    </row>
    <row r="25" spans="2:22" x14ac:dyDescent="0.3">
      <c r="H25" s="33">
        <v>5</v>
      </c>
      <c r="I25" s="64">
        <f t="shared" si="22"/>
        <v>0.10227848101265823</v>
      </c>
      <c r="J25" s="34">
        <f t="shared" si="23"/>
        <v>0.12195121951219512</v>
      </c>
      <c r="K25" s="34">
        <f t="shared" si="24"/>
        <v>0.10227848101265823</v>
      </c>
      <c r="L25" s="48"/>
      <c r="M25" s="49">
        <v>5</v>
      </c>
      <c r="N25" s="68">
        <f t="shared" si="25"/>
        <v>3.8330636779168831E-4</v>
      </c>
      <c r="O25" s="68">
        <f t="shared" si="26"/>
        <v>3.8330636779168831E-4</v>
      </c>
      <c r="P25" s="68">
        <f t="shared" si="27"/>
        <v>3.8330636779168831E-4</v>
      </c>
    </row>
    <row r="26" spans="2:22" ht="14.4" x14ac:dyDescent="0.3">
      <c r="B26" s="76"/>
      <c r="C26" s="77"/>
      <c r="D26" s="78"/>
      <c r="E26" s="77"/>
      <c r="H26" s="33">
        <v>6</v>
      </c>
      <c r="I26" s="64">
        <f t="shared" si="22"/>
        <v>0.13286004056795131</v>
      </c>
      <c r="J26" s="34">
        <f t="shared" si="23"/>
        <v>0.14705882352941177</v>
      </c>
      <c r="K26" s="34">
        <f t="shared" si="24"/>
        <v>0.13286004056795131</v>
      </c>
      <c r="L26" s="48"/>
      <c r="M26" s="49">
        <v>6</v>
      </c>
      <c r="N26" s="68">
        <f t="shared" si="25"/>
        <v>4.1700304800158907E-3</v>
      </c>
      <c r="O26" s="68">
        <f t="shared" si="26"/>
        <v>4.1700304800158907E-3</v>
      </c>
      <c r="P26" s="68">
        <f t="shared" si="27"/>
        <v>4.1700304800158907E-3</v>
      </c>
    </row>
    <row r="27" spans="2:22" ht="14.4" x14ac:dyDescent="0.3">
      <c r="B27" s="76"/>
      <c r="C27" s="78"/>
      <c r="D27" s="78"/>
      <c r="E27" s="77"/>
      <c r="H27" s="33">
        <v>7</v>
      </c>
      <c r="I27" s="64">
        <f t="shared" si="22"/>
        <v>0.16489925768822905</v>
      </c>
      <c r="J27" s="34">
        <f t="shared" si="23"/>
        <v>0.18508997429305912</v>
      </c>
      <c r="K27" s="34">
        <f t="shared" si="24"/>
        <v>0.16489925768822905</v>
      </c>
      <c r="L27" s="48"/>
      <c r="M27" s="49">
        <v>7</v>
      </c>
      <c r="N27" s="68">
        <f t="shared" si="25"/>
        <v>8.5662836056707419E-3</v>
      </c>
      <c r="O27" s="68">
        <f t="shared" si="26"/>
        <v>8.5662836056707419E-3</v>
      </c>
      <c r="P27" s="68">
        <f t="shared" si="27"/>
        <v>8.5662836056707419E-3</v>
      </c>
    </row>
    <row r="28" spans="2:22" ht="14.4" x14ac:dyDescent="0.3">
      <c r="B28" s="76"/>
      <c r="C28" s="78"/>
      <c r="D28" s="78"/>
      <c r="E28" s="77"/>
      <c r="H28" s="33">
        <v>8</v>
      </c>
      <c r="I28" s="64">
        <f t="shared" si="22"/>
        <v>0.22488526262111166</v>
      </c>
      <c r="J28" s="34">
        <f t="shared" si="23"/>
        <v>0.23851203501094093</v>
      </c>
      <c r="K28" s="34">
        <f t="shared" si="24"/>
        <v>0.22488526262111166</v>
      </c>
      <c r="L28" s="48"/>
      <c r="M28" s="49">
        <v>8</v>
      </c>
      <c r="N28" s="68">
        <f t="shared" si="25"/>
        <v>1.9710316390797244E-2</v>
      </c>
      <c r="O28" s="68">
        <f t="shared" si="26"/>
        <v>1.9710316390797244E-2</v>
      </c>
      <c r="P28" s="68">
        <f t="shared" si="27"/>
        <v>1.9710316390797244E-2</v>
      </c>
    </row>
    <row r="29" spans="2:22" ht="14.4" x14ac:dyDescent="0.3">
      <c r="B29" s="76"/>
      <c r="C29" s="78"/>
      <c r="D29" s="78"/>
      <c r="E29" s="77"/>
      <c r="H29" s="33">
        <v>9</v>
      </c>
      <c r="I29" s="64">
        <f t="shared" si="22"/>
        <v>0.28841245533435428</v>
      </c>
      <c r="J29" s="34">
        <f t="shared" si="23"/>
        <v>0.23918575063613232</v>
      </c>
      <c r="K29" s="34">
        <f t="shared" si="24"/>
        <v>0.28841245533435428</v>
      </c>
      <c r="L29" s="48"/>
      <c r="M29" s="49">
        <v>9</v>
      </c>
      <c r="N29" s="68">
        <f t="shared" si="25"/>
        <v>7.1026037826407143E-3</v>
      </c>
      <c r="O29" s="68">
        <f t="shared" si="26"/>
        <v>7.1026037826407143E-3</v>
      </c>
      <c r="P29" s="68">
        <f t="shared" si="27"/>
        <v>7.1026037826407143E-3</v>
      </c>
    </row>
    <row r="30" spans="2:22" ht="14.4" x14ac:dyDescent="0.3">
      <c r="B30" s="76"/>
      <c r="C30" s="77"/>
      <c r="D30" s="78"/>
      <c r="E30" s="77"/>
      <c r="H30" s="36">
        <v>10</v>
      </c>
      <c r="I30" s="65">
        <f t="shared" si="22"/>
        <v>0.44258872651356995</v>
      </c>
      <c r="J30" s="37">
        <f t="shared" si="23"/>
        <v>0.33333333333333331</v>
      </c>
      <c r="K30" s="34">
        <f t="shared" si="24"/>
        <v>0.44258872651356995</v>
      </c>
      <c r="L30" s="48"/>
      <c r="M30" s="49">
        <v>10</v>
      </c>
      <c r="N30" s="68">
        <f t="shared" si="25"/>
        <v>4.1039366140870323E-2</v>
      </c>
      <c r="O30" s="68">
        <f t="shared" si="26"/>
        <v>4.1039366140870323E-2</v>
      </c>
      <c r="P30" s="68">
        <f t="shared" si="27"/>
        <v>4.1039366140870323E-2</v>
      </c>
    </row>
    <row r="31" spans="2:22" ht="15.6" x14ac:dyDescent="0.3">
      <c r="L31" s="52"/>
      <c r="M31" s="39" t="s">
        <v>13</v>
      </c>
      <c r="N31" s="69">
        <f>SUM(N21:N30)</f>
        <v>0.18072883166172005</v>
      </c>
      <c r="O31" s="70">
        <f>SUM(O21:O30)</f>
        <v>0.18072883166172005</v>
      </c>
      <c r="P31" s="71">
        <f>SUM(P21:P30)</f>
        <v>0.18072883166172005</v>
      </c>
    </row>
    <row r="32" spans="2:22" x14ac:dyDescent="0.3">
      <c r="P32" s="25"/>
      <c r="Q32" s="25"/>
      <c r="R32" s="25"/>
    </row>
    <row r="34" spans="12:21" x14ac:dyDescent="0.3">
      <c r="Q34" s="72" t="s">
        <v>24</v>
      </c>
      <c r="R34" s="73"/>
      <c r="S34" s="73"/>
      <c r="T34" s="73"/>
      <c r="U34" s="73"/>
    </row>
    <row r="35" spans="12:21" ht="24" x14ac:dyDescent="0.3">
      <c r="Q35" s="81" t="s">
        <v>25</v>
      </c>
      <c r="R35" s="3" t="s">
        <v>26</v>
      </c>
      <c r="S35" s="3" t="s">
        <v>27</v>
      </c>
      <c r="T35" s="3" t="s">
        <v>28</v>
      </c>
      <c r="U35" s="3" t="s">
        <v>27</v>
      </c>
    </row>
    <row r="36" spans="12:21" ht="60" x14ac:dyDescent="0.3">
      <c r="Q36" s="82"/>
      <c r="R36" s="4" t="s">
        <v>29</v>
      </c>
      <c r="S36" s="4" t="s">
        <v>30</v>
      </c>
      <c r="T36" s="4" t="s">
        <v>29</v>
      </c>
      <c r="U36" s="4" t="s">
        <v>31</v>
      </c>
    </row>
    <row r="37" spans="12:21" x14ac:dyDescent="0.3">
      <c r="Q37" s="53">
        <v>1</v>
      </c>
      <c r="R37" s="53">
        <f t="shared" ref="R37:R46" si="28">RANK(I21,$I$21:$I$30,1)</f>
        <v>1</v>
      </c>
      <c r="S37" s="53">
        <f>MAX(0,R37-Q37)</f>
        <v>0</v>
      </c>
      <c r="T37" s="53">
        <f t="shared" ref="T37:T46" si="29">RANK(J21,$J$21:$J$30,1)</f>
        <v>1</v>
      </c>
      <c r="U37" s="53">
        <f t="shared" ref="U37:U46" si="30">MAX(0,T37-Q37)</f>
        <v>0</v>
      </c>
    </row>
    <row r="38" spans="12:21" x14ac:dyDescent="0.3">
      <c r="Q38" s="53">
        <v>2</v>
      </c>
      <c r="R38" s="53">
        <f t="shared" si="28"/>
        <v>2</v>
      </c>
      <c r="S38" s="53">
        <f t="shared" ref="S38:S46" si="31">MAX(0,R38-Q38)</f>
        <v>0</v>
      </c>
      <c r="T38" s="53">
        <f t="shared" si="29"/>
        <v>2</v>
      </c>
      <c r="U38" s="53">
        <f t="shared" si="30"/>
        <v>0</v>
      </c>
    </row>
    <row r="39" spans="12:21" x14ac:dyDescent="0.3">
      <c r="Q39" s="53">
        <v>3</v>
      </c>
      <c r="R39" s="53">
        <f t="shared" si="28"/>
        <v>3</v>
      </c>
      <c r="S39" s="53">
        <f t="shared" si="31"/>
        <v>0</v>
      </c>
      <c r="T39" s="53">
        <f t="shared" si="29"/>
        <v>3</v>
      </c>
      <c r="U39" s="53">
        <f t="shared" si="30"/>
        <v>0</v>
      </c>
    </row>
    <row r="40" spans="12:21" x14ac:dyDescent="0.3">
      <c r="Q40" s="53">
        <v>4</v>
      </c>
      <c r="R40" s="53">
        <f t="shared" si="28"/>
        <v>4</v>
      </c>
      <c r="S40" s="53">
        <f t="shared" si="31"/>
        <v>0</v>
      </c>
      <c r="T40" s="53">
        <f t="shared" si="29"/>
        <v>4</v>
      </c>
      <c r="U40" s="53">
        <f t="shared" si="30"/>
        <v>0</v>
      </c>
    </row>
    <row r="41" spans="12:21" x14ac:dyDescent="0.3">
      <c r="Q41" s="53">
        <v>5</v>
      </c>
      <c r="R41" s="53">
        <f t="shared" si="28"/>
        <v>5</v>
      </c>
      <c r="S41" s="53">
        <f t="shared" si="31"/>
        <v>0</v>
      </c>
      <c r="T41" s="53">
        <f t="shared" si="29"/>
        <v>5</v>
      </c>
      <c r="U41" s="53">
        <f t="shared" si="30"/>
        <v>0</v>
      </c>
    </row>
    <row r="42" spans="12:21" x14ac:dyDescent="0.3">
      <c r="Q42" s="53">
        <v>6</v>
      </c>
      <c r="R42" s="53">
        <f t="shared" si="28"/>
        <v>6</v>
      </c>
      <c r="S42" s="53">
        <f t="shared" si="31"/>
        <v>0</v>
      </c>
      <c r="T42" s="53">
        <f t="shared" si="29"/>
        <v>6</v>
      </c>
      <c r="U42" s="53">
        <f t="shared" si="30"/>
        <v>0</v>
      </c>
    </row>
    <row r="43" spans="12:21" x14ac:dyDescent="0.3">
      <c r="L43" s="74"/>
      <c r="Q43" s="53">
        <v>7</v>
      </c>
      <c r="R43" s="53">
        <f t="shared" si="28"/>
        <v>7</v>
      </c>
      <c r="S43" s="53">
        <f t="shared" si="31"/>
        <v>0</v>
      </c>
      <c r="T43" s="53">
        <f t="shared" si="29"/>
        <v>7</v>
      </c>
      <c r="U43" s="53">
        <f t="shared" si="30"/>
        <v>0</v>
      </c>
    </row>
    <row r="44" spans="12:21" x14ac:dyDescent="0.3">
      <c r="Q44" s="53">
        <v>8</v>
      </c>
      <c r="R44" s="53">
        <f t="shared" si="28"/>
        <v>8</v>
      </c>
      <c r="S44" s="53">
        <f t="shared" si="31"/>
        <v>0</v>
      </c>
      <c r="T44" s="53">
        <f t="shared" si="29"/>
        <v>8</v>
      </c>
      <c r="U44" s="53">
        <f t="shared" si="30"/>
        <v>0</v>
      </c>
    </row>
    <row r="45" spans="12:21" x14ac:dyDescent="0.3">
      <c r="Q45" s="53">
        <v>9</v>
      </c>
      <c r="R45" s="53">
        <f t="shared" si="28"/>
        <v>9</v>
      </c>
      <c r="S45" s="53">
        <f t="shared" si="31"/>
        <v>0</v>
      </c>
      <c r="T45" s="53">
        <f t="shared" si="29"/>
        <v>9</v>
      </c>
      <c r="U45" s="53">
        <f t="shared" si="30"/>
        <v>0</v>
      </c>
    </row>
    <row r="46" spans="12:21" x14ac:dyDescent="0.3">
      <c r="Q46" s="53">
        <v>10</v>
      </c>
      <c r="R46" s="53">
        <f t="shared" si="28"/>
        <v>10</v>
      </c>
      <c r="S46" s="53">
        <f t="shared" si="31"/>
        <v>0</v>
      </c>
      <c r="T46" s="53">
        <f t="shared" si="29"/>
        <v>10</v>
      </c>
      <c r="U46" s="53">
        <f t="shared" si="30"/>
        <v>0</v>
      </c>
    </row>
    <row r="47" spans="12:21" x14ac:dyDescent="0.3">
      <c r="Q47" s="73"/>
      <c r="R47" s="73"/>
      <c r="S47" s="54">
        <f>SUM(S37:S46)/25</f>
        <v>0</v>
      </c>
      <c r="T47" s="73"/>
      <c r="U47" s="54">
        <f>SUM(U37:U46)/25</f>
        <v>0</v>
      </c>
    </row>
    <row r="48" spans="12:21" x14ac:dyDescent="0.3">
      <c r="Q48" s="73"/>
      <c r="R48" s="73"/>
      <c r="S48" s="73"/>
      <c r="T48" s="73"/>
      <c r="U48" s="73"/>
    </row>
    <row r="49" spans="17:21" ht="60" x14ac:dyDescent="0.3">
      <c r="Q49" s="53" t="s">
        <v>32</v>
      </c>
      <c r="R49" s="53"/>
      <c r="S49" s="53"/>
      <c r="T49" s="73"/>
      <c r="U49" s="73"/>
    </row>
  </sheetData>
  <mergeCells count="11">
    <mergeCell ref="AB2:AK2"/>
    <mergeCell ref="X2:Z2"/>
    <mergeCell ref="H19:K19"/>
    <mergeCell ref="M19:P19"/>
    <mergeCell ref="Q35:Q36"/>
    <mergeCell ref="B22:D22"/>
    <mergeCell ref="B20:C20"/>
    <mergeCell ref="M2:V2"/>
    <mergeCell ref="B2:K2"/>
    <mergeCell ref="B23:D23"/>
    <mergeCell ref="B21:C21"/>
  </mergeCells>
  <conditionalFormatting sqref="F21">
    <cfRule type="cellIs" dxfId="7" priority="2" stopIfTrue="1" operator="greaterThan">
      <formula>15</formula>
    </cfRule>
    <cfRule type="cellIs" dxfId="6" priority="7" stopIfTrue="1" operator="lessThanOrEqual">
      <formula>5</formula>
    </cfRule>
    <cfRule type="cellIs" dxfId="5" priority="8" operator="greaterThan">
      <formula>5</formula>
    </cfRule>
    <cfRule type="cellIs" dxfId="4" priority="9" operator="lessThanOrEqual">
      <formula>15</formula>
    </cfRule>
  </conditionalFormatting>
  <conditionalFormatting sqref="F22:F23">
    <cfRule type="cellIs" dxfId="3" priority="3" stopIfTrue="1" operator="greaterThan">
      <formula>0.25</formula>
    </cfRule>
    <cfRule type="cellIs" dxfId="2" priority="4" stopIfTrue="1" operator="between">
      <formula>0</formula>
      <formula>0.1</formula>
    </cfRule>
    <cfRule type="cellIs" dxfId="1" priority="5" operator="lessThanOrEqual">
      <formula>0.25</formula>
    </cfRule>
    <cfRule type="cellIs" dxfId="0" priority="6" operator="greaterThan">
      <formula>0.1</formula>
    </cfRule>
  </conditionalFormatting>
  <conditionalFormatting sqref="I21:I30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1:J30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1:K3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75"/>
  <sheetViews>
    <sheetView showGridLines="0" tabSelected="1" workbookViewId="0"/>
  </sheetViews>
  <sheetFormatPr defaultColWidth="8.88671875" defaultRowHeight="12" x14ac:dyDescent="0.25"/>
  <cols>
    <col min="1" max="1" width="8.88671875" style="1" customWidth="1"/>
    <col min="2" max="2" width="4.44140625" style="1" bestFit="1" customWidth="1"/>
    <col min="3" max="3" width="12.6640625" style="1" bestFit="1" customWidth="1"/>
    <col min="4" max="6" width="12.5546875" style="1" customWidth="1"/>
    <col min="7" max="7" width="14.6640625" style="1" bestFit="1" customWidth="1"/>
    <col min="8" max="8" width="10.6640625" style="1" bestFit="1" customWidth="1"/>
    <col min="9" max="9" width="12.33203125" style="1" bestFit="1" customWidth="1"/>
    <col min="10" max="10" width="9.6640625" style="1" customWidth="1"/>
    <col min="11" max="11" width="12" style="1" bestFit="1" customWidth="1"/>
    <col min="12" max="12" width="8.88671875" style="1" customWidth="1"/>
    <col min="13" max="16384" width="8.88671875" style="1"/>
  </cols>
  <sheetData>
    <row r="1" spans="1:1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</row>
    <row r="2" spans="1:11" ht="14.4" customHeight="1" x14ac:dyDescent="0.3">
      <c r="A2" s="2"/>
      <c r="B2" s="98" t="s">
        <v>33</v>
      </c>
      <c r="C2" s="79"/>
      <c r="D2" s="79"/>
      <c r="E2" s="79"/>
      <c r="F2" s="79"/>
      <c r="G2" s="79"/>
      <c r="H2" s="79"/>
      <c r="I2" s="79"/>
      <c r="J2" s="79"/>
      <c r="K2" s="80"/>
    </row>
    <row r="3" spans="1:11" x14ac:dyDescent="0.25">
      <c r="A3" s="2"/>
      <c r="B3" s="20" t="s">
        <v>3</v>
      </c>
      <c r="C3" s="20" t="s">
        <v>4</v>
      </c>
      <c r="D3" s="20" t="s">
        <v>5</v>
      </c>
      <c r="E3" s="20" t="s">
        <v>6</v>
      </c>
      <c r="F3" s="20" t="s">
        <v>7</v>
      </c>
      <c r="G3" s="20" t="s">
        <v>8</v>
      </c>
      <c r="H3" s="20" t="s">
        <v>9</v>
      </c>
      <c r="I3" s="20" t="s">
        <v>10</v>
      </c>
      <c r="J3" s="20" t="s">
        <v>11</v>
      </c>
      <c r="K3" s="20" t="s">
        <v>12</v>
      </c>
    </row>
    <row r="4" spans="1:11" x14ac:dyDescent="0.25">
      <c r="A4" s="2"/>
      <c r="B4" s="5">
        <v>10</v>
      </c>
      <c r="C4" s="5">
        <v>293</v>
      </c>
      <c r="D4" s="6">
        <f t="shared" ref="D4:D13" si="0">C4/SUM($C$4:$C$13)</f>
        <v>0.10110420979986197</v>
      </c>
      <c r="E4" s="5">
        <v>12</v>
      </c>
      <c r="F4" s="5">
        <f t="shared" ref="F4:F13" si="1">C4-E4</f>
        <v>281</v>
      </c>
      <c r="G4" s="7">
        <f t="shared" ref="G4:G14" si="2">E4/C4</f>
        <v>4.0955631399317405E-2</v>
      </c>
      <c r="H4" s="7">
        <f>E4/SUM(E4:E13)</f>
        <v>2.8169014084507043E-2</v>
      </c>
      <c r="I4" s="7">
        <f>F4/SUM(F4:F13)</f>
        <v>0.11367313915857605</v>
      </c>
      <c r="J4" s="8">
        <f t="shared" ref="J4:J13" si="3">ABS(H4-I4)</f>
        <v>8.5504125074069001E-2</v>
      </c>
      <c r="K4" s="5">
        <f>H4*I4*0.5</f>
        <v>1.6010301289940288E-3</v>
      </c>
    </row>
    <row r="5" spans="1:11" x14ac:dyDescent="0.25">
      <c r="A5" s="2"/>
      <c r="B5" s="9">
        <v>9</v>
      </c>
      <c r="C5" s="9">
        <v>309</v>
      </c>
      <c r="D5" s="10">
        <f t="shared" si="0"/>
        <v>0.10662525879917184</v>
      </c>
      <c r="E5" s="9">
        <v>17</v>
      </c>
      <c r="F5" s="9">
        <f t="shared" si="1"/>
        <v>292</v>
      </c>
      <c r="G5" s="11">
        <f t="shared" si="2"/>
        <v>5.5016181229773461E-2</v>
      </c>
      <c r="H5" s="11">
        <f t="shared" ref="H5:H13" si="4">E5/SUM($E$4:$E$13)+H4</f>
        <v>6.8075117370892016E-2</v>
      </c>
      <c r="I5" s="11">
        <f t="shared" ref="I5:I13" si="5">F5/SUM($F$4:$F$13)+I4</f>
        <v>0.23179611650485438</v>
      </c>
      <c r="J5" s="12">
        <f t="shared" si="3"/>
        <v>0.16372099913396237</v>
      </c>
      <c r="K5" s="9">
        <f t="shared" ref="K5:K13" si="6">(H5+H4)*(I5-I4)*0.5</f>
        <v>5.6843216798091682E-3</v>
      </c>
    </row>
    <row r="6" spans="1:11" x14ac:dyDescent="0.25">
      <c r="A6" s="2"/>
      <c r="B6" s="9">
        <v>8</v>
      </c>
      <c r="C6" s="9">
        <v>269</v>
      </c>
      <c r="D6" s="10">
        <f t="shared" si="0"/>
        <v>9.2822636300897168E-2</v>
      </c>
      <c r="E6" s="9">
        <v>27</v>
      </c>
      <c r="F6" s="9">
        <f t="shared" si="1"/>
        <v>242</v>
      </c>
      <c r="G6" s="11">
        <f t="shared" si="2"/>
        <v>0.10037174721189591</v>
      </c>
      <c r="H6" s="11">
        <f t="shared" si="4"/>
        <v>0.13145539906103287</v>
      </c>
      <c r="I6" s="11">
        <f t="shared" si="5"/>
        <v>0.32969255663430419</v>
      </c>
      <c r="J6" s="12">
        <f t="shared" si="3"/>
        <v>0.19823715757327132</v>
      </c>
      <c r="K6" s="9">
        <f t="shared" si="6"/>
        <v>9.7666636279380679E-3</v>
      </c>
    </row>
    <row r="7" spans="1:11" x14ac:dyDescent="0.25">
      <c r="A7" s="2"/>
      <c r="B7" s="9">
        <v>7</v>
      </c>
      <c r="C7" s="9">
        <v>299</v>
      </c>
      <c r="D7" s="10">
        <f t="shared" si="0"/>
        <v>0.10317460317460317</v>
      </c>
      <c r="E7" s="9">
        <v>35</v>
      </c>
      <c r="F7" s="9">
        <f t="shared" si="1"/>
        <v>264</v>
      </c>
      <c r="G7" s="11">
        <f t="shared" si="2"/>
        <v>0.11705685618729098</v>
      </c>
      <c r="H7" s="11">
        <f t="shared" si="4"/>
        <v>0.21361502347417843</v>
      </c>
      <c r="I7" s="11">
        <f t="shared" si="5"/>
        <v>0.43648867313915857</v>
      </c>
      <c r="J7" s="12">
        <f t="shared" si="3"/>
        <v>0.22287364966498013</v>
      </c>
      <c r="K7" s="9">
        <f t="shared" si="6"/>
        <v>1.8426090523724879E-2</v>
      </c>
    </row>
    <row r="8" spans="1:11" x14ac:dyDescent="0.25">
      <c r="A8" s="2"/>
      <c r="B8" s="9">
        <v>6</v>
      </c>
      <c r="C8" s="9">
        <v>290</v>
      </c>
      <c r="D8" s="10">
        <f t="shared" si="0"/>
        <v>0.10006901311249138</v>
      </c>
      <c r="E8" s="9">
        <v>30</v>
      </c>
      <c r="F8" s="9">
        <f t="shared" si="1"/>
        <v>260</v>
      </c>
      <c r="G8" s="11">
        <f t="shared" si="2"/>
        <v>0.10344827586206896</v>
      </c>
      <c r="H8" s="11">
        <f t="shared" si="4"/>
        <v>0.28403755868544606</v>
      </c>
      <c r="I8" s="11">
        <f t="shared" si="5"/>
        <v>0.54166666666666663</v>
      </c>
      <c r="J8" s="12">
        <f t="shared" si="3"/>
        <v>0.25762910798122057</v>
      </c>
      <c r="K8" s="9">
        <f t="shared" si="6"/>
        <v>2.6171050032666329E-2</v>
      </c>
    </row>
    <row r="9" spans="1:11" x14ac:dyDescent="0.25">
      <c r="A9" s="2"/>
      <c r="B9" s="9">
        <v>5</v>
      </c>
      <c r="C9" s="9">
        <v>288</v>
      </c>
      <c r="D9" s="10">
        <f t="shared" si="0"/>
        <v>9.9378881987577633E-2</v>
      </c>
      <c r="E9" s="9">
        <v>46</v>
      </c>
      <c r="F9" s="9">
        <f t="shared" si="1"/>
        <v>242</v>
      </c>
      <c r="G9" s="11">
        <f t="shared" si="2"/>
        <v>0.15972222222222221</v>
      </c>
      <c r="H9" s="11">
        <f t="shared" si="4"/>
        <v>0.39201877934272306</v>
      </c>
      <c r="I9" s="11">
        <f t="shared" si="5"/>
        <v>0.6395631067961165</v>
      </c>
      <c r="J9" s="12">
        <f t="shared" si="3"/>
        <v>0.24754432745339344</v>
      </c>
      <c r="K9" s="9">
        <f t="shared" si="6"/>
        <v>3.309175440995489E-2</v>
      </c>
    </row>
    <row r="10" spans="1:11" x14ac:dyDescent="0.25">
      <c r="A10" s="2"/>
      <c r="B10" s="9">
        <v>4</v>
      </c>
      <c r="C10" s="9">
        <v>287</v>
      </c>
      <c r="D10" s="10">
        <f t="shared" si="0"/>
        <v>9.9033816425120769E-2</v>
      </c>
      <c r="E10" s="9">
        <v>54</v>
      </c>
      <c r="F10" s="9">
        <f t="shared" si="1"/>
        <v>233</v>
      </c>
      <c r="G10" s="11">
        <f t="shared" si="2"/>
        <v>0.18815331010452963</v>
      </c>
      <c r="H10" s="11">
        <f t="shared" si="4"/>
        <v>0.51877934272300474</v>
      </c>
      <c r="I10" s="11">
        <f t="shared" si="5"/>
        <v>0.73381877022653719</v>
      </c>
      <c r="J10" s="12">
        <f t="shared" si="3"/>
        <v>0.21503942750353244</v>
      </c>
      <c r="K10" s="9">
        <f t="shared" si="6"/>
        <v>4.2923940623243229E-2</v>
      </c>
    </row>
    <row r="11" spans="1:11" x14ac:dyDescent="0.25">
      <c r="A11" s="2"/>
      <c r="B11" s="9">
        <v>3</v>
      </c>
      <c r="C11" s="9">
        <v>291</v>
      </c>
      <c r="D11" s="10">
        <f t="shared" si="0"/>
        <v>0.10041407867494824</v>
      </c>
      <c r="E11" s="9">
        <v>65</v>
      </c>
      <c r="F11" s="9">
        <f t="shared" si="1"/>
        <v>226</v>
      </c>
      <c r="G11" s="11">
        <f t="shared" si="2"/>
        <v>0.22336769759450173</v>
      </c>
      <c r="H11" s="11">
        <f t="shared" si="4"/>
        <v>0.67136150234741787</v>
      </c>
      <c r="I11" s="11">
        <f t="shared" si="5"/>
        <v>0.82524271844660191</v>
      </c>
      <c r="J11" s="12">
        <f t="shared" si="3"/>
        <v>0.15388121609918404</v>
      </c>
      <c r="K11" s="9">
        <f t="shared" si="6"/>
        <v>5.4403687497151187E-2</v>
      </c>
    </row>
    <row r="12" spans="1:11" x14ac:dyDescent="0.25">
      <c r="A12" s="2"/>
      <c r="B12" s="9">
        <v>2</v>
      </c>
      <c r="C12" s="9">
        <v>282</v>
      </c>
      <c r="D12" s="10">
        <f t="shared" si="0"/>
        <v>9.7308488612836433E-2</v>
      </c>
      <c r="E12" s="9">
        <v>75</v>
      </c>
      <c r="F12" s="9">
        <f t="shared" si="1"/>
        <v>207</v>
      </c>
      <c r="G12" s="11">
        <f t="shared" si="2"/>
        <v>0.26595744680851063</v>
      </c>
      <c r="H12" s="11">
        <f t="shared" si="4"/>
        <v>0.84741784037558687</v>
      </c>
      <c r="I12" s="11">
        <f t="shared" si="5"/>
        <v>0.90898058252427183</v>
      </c>
      <c r="J12" s="12">
        <f t="shared" si="3"/>
        <v>6.1562742148684957E-2</v>
      </c>
      <c r="K12" s="9">
        <f t="shared" si="6"/>
        <v>6.3589669082455919E-2</v>
      </c>
    </row>
    <row r="13" spans="1:11" x14ac:dyDescent="0.25">
      <c r="A13" s="2"/>
      <c r="B13" s="13">
        <v>1</v>
      </c>
      <c r="C13" s="13">
        <v>290</v>
      </c>
      <c r="D13" s="14">
        <f t="shared" si="0"/>
        <v>0.10006901311249138</v>
      </c>
      <c r="E13" s="13">
        <v>65</v>
      </c>
      <c r="F13" s="13">
        <f t="shared" si="1"/>
        <v>225</v>
      </c>
      <c r="G13" s="15">
        <f t="shared" si="2"/>
        <v>0.22413793103448276</v>
      </c>
      <c r="H13" s="15">
        <f t="shared" si="4"/>
        <v>1</v>
      </c>
      <c r="I13" s="15">
        <f t="shared" si="5"/>
        <v>1</v>
      </c>
      <c r="J13" s="16">
        <f t="shared" si="3"/>
        <v>0</v>
      </c>
      <c r="K13" s="13">
        <f t="shared" si="6"/>
        <v>8.4075447832626854E-2</v>
      </c>
    </row>
    <row r="14" spans="1:11" x14ac:dyDescent="0.25">
      <c r="A14" s="2"/>
      <c r="C14" s="21">
        <f>SUM(C4:C13)</f>
        <v>2898</v>
      </c>
      <c r="D14" s="22">
        <f>SUM(D4:D13)</f>
        <v>1</v>
      </c>
      <c r="E14" s="21">
        <f>SUM(E4:E13)</f>
        <v>426</v>
      </c>
      <c r="F14" s="21">
        <f>SUM(F4:F13)</f>
        <v>2472</v>
      </c>
      <c r="G14" s="23">
        <f t="shared" si="2"/>
        <v>0.14699792960662525</v>
      </c>
      <c r="H14" s="21"/>
      <c r="I14" s="21"/>
      <c r="J14" s="24">
        <f>MAX(J4:J13)</f>
        <v>0.25762910798122057</v>
      </c>
      <c r="K14" s="21">
        <f>SUM(K4:K13)</f>
        <v>0.3397336554385646</v>
      </c>
    </row>
    <row r="15" spans="1:11" x14ac:dyDescent="0.25">
      <c r="A15" s="2"/>
    </row>
    <row r="16" spans="1:11" x14ac:dyDescent="0.25">
      <c r="A16" s="2"/>
    </row>
    <row r="17" spans="1:11" ht="14.4" customHeight="1" x14ac:dyDescent="0.3">
      <c r="A17" s="2"/>
      <c r="B17" s="98" t="s">
        <v>2</v>
      </c>
      <c r="C17" s="79"/>
      <c r="D17" s="79"/>
      <c r="E17" s="79"/>
      <c r="F17" s="79"/>
      <c r="G17" s="79"/>
      <c r="H17" s="79"/>
      <c r="I17" s="79"/>
      <c r="J17" s="79"/>
      <c r="K17" s="80"/>
    </row>
    <row r="18" spans="1:11" x14ac:dyDescent="0.25">
      <c r="A18" s="2"/>
      <c r="B18" s="20" t="s">
        <v>3</v>
      </c>
      <c r="C18" s="20" t="s">
        <v>4</v>
      </c>
      <c r="D18" s="20" t="s">
        <v>5</v>
      </c>
      <c r="E18" s="20" t="s">
        <v>6</v>
      </c>
      <c r="F18" s="20" t="s">
        <v>7</v>
      </c>
      <c r="G18" s="20" t="s">
        <v>8</v>
      </c>
      <c r="H18" s="20" t="s">
        <v>9</v>
      </c>
      <c r="I18" s="20" t="s">
        <v>10</v>
      </c>
      <c r="J18" s="20" t="s">
        <v>11</v>
      </c>
      <c r="K18" s="20" t="s">
        <v>12</v>
      </c>
    </row>
    <row r="19" spans="1:11" x14ac:dyDescent="0.25">
      <c r="A19" s="2"/>
      <c r="B19" s="5">
        <v>10</v>
      </c>
      <c r="C19" s="5"/>
      <c r="D19" s="6" t="e">
        <f t="shared" ref="D19:D28" si="7">C19/SUM($C$19:$C$28)</f>
        <v>#DIV/0!</v>
      </c>
      <c r="E19" s="5"/>
      <c r="F19" s="5">
        <f t="shared" ref="F19:F28" si="8">C19-E19</f>
        <v>0</v>
      </c>
      <c r="G19" s="7" t="e">
        <f t="shared" ref="G19:G29" si="9">E19/C19</f>
        <v>#DIV/0!</v>
      </c>
      <c r="H19" s="7" t="e">
        <f>E19/SUM(E19:E28)</f>
        <v>#DIV/0!</v>
      </c>
      <c r="I19" s="7" t="e">
        <f>F19/SUM(F19:F28)</f>
        <v>#DIV/0!</v>
      </c>
      <c r="J19" s="8" t="e">
        <f t="shared" ref="J19:J28" si="10">ABS(H19-I19)</f>
        <v>#DIV/0!</v>
      </c>
      <c r="K19" s="5" t="e">
        <f>H19*I19*0.5</f>
        <v>#DIV/0!</v>
      </c>
    </row>
    <row r="20" spans="1:11" x14ac:dyDescent="0.25">
      <c r="A20" s="2"/>
      <c r="B20" s="9">
        <v>9</v>
      </c>
      <c r="C20" s="9"/>
      <c r="D20" s="10" t="e">
        <f t="shared" si="7"/>
        <v>#DIV/0!</v>
      </c>
      <c r="E20" s="9"/>
      <c r="F20" s="9">
        <f t="shared" si="8"/>
        <v>0</v>
      </c>
      <c r="G20" s="11" t="e">
        <f t="shared" si="9"/>
        <v>#DIV/0!</v>
      </c>
      <c r="H20" s="11" t="e">
        <f t="shared" ref="H20:H28" si="11">E20/SUM($E$19:$E$28)+H19</f>
        <v>#DIV/0!</v>
      </c>
      <c r="I20" s="11" t="e">
        <f t="shared" ref="I20:I28" si="12">F20/SUM($F$19:$F$28)+I19</f>
        <v>#DIV/0!</v>
      </c>
      <c r="J20" s="12" t="e">
        <f t="shared" si="10"/>
        <v>#DIV/0!</v>
      </c>
      <c r="K20" s="9" t="e">
        <f t="shared" ref="K20:K28" si="13">(H20+H19)*(I20-I19)*0.5</f>
        <v>#DIV/0!</v>
      </c>
    </row>
    <row r="21" spans="1:11" x14ac:dyDescent="0.25">
      <c r="A21" s="2"/>
      <c r="B21" s="9">
        <v>8</v>
      </c>
      <c r="C21" s="9"/>
      <c r="D21" s="10" t="e">
        <f t="shared" si="7"/>
        <v>#DIV/0!</v>
      </c>
      <c r="E21" s="9"/>
      <c r="F21" s="9">
        <f t="shared" si="8"/>
        <v>0</v>
      </c>
      <c r="G21" s="11" t="e">
        <f t="shared" si="9"/>
        <v>#DIV/0!</v>
      </c>
      <c r="H21" s="11" t="e">
        <f t="shared" si="11"/>
        <v>#DIV/0!</v>
      </c>
      <c r="I21" s="11" t="e">
        <f t="shared" si="12"/>
        <v>#DIV/0!</v>
      </c>
      <c r="J21" s="12" t="e">
        <f t="shared" si="10"/>
        <v>#DIV/0!</v>
      </c>
      <c r="K21" s="9" t="e">
        <f t="shared" si="13"/>
        <v>#DIV/0!</v>
      </c>
    </row>
    <row r="22" spans="1:11" x14ac:dyDescent="0.25">
      <c r="A22" s="2"/>
      <c r="B22" s="9">
        <v>7</v>
      </c>
      <c r="C22" s="9"/>
      <c r="D22" s="10" t="e">
        <f t="shared" si="7"/>
        <v>#DIV/0!</v>
      </c>
      <c r="E22" s="9"/>
      <c r="F22" s="9">
        <f t="shared" si="8"/>
        <v>0</v>
      </c>
      <c r="G22" s="11" t="e">
        <f t="shared" si="9"/>
        <v>#DIV/0!</v>
      </c>
      <c r="H22" s="11" t="e">
        <f t="shared" si="11"/>
        <v>#DIV/0!</v>
      </c>
      <c r="I22" s="11" t="e">
        <f t="shared" si="12"/>
        <v>#DIV/0!</v>
      </c>
      <c r="J22" s="12" t="e">
        <f t="shared" si="10"/>
        <v>#DIV/0!</v>
      </c>
      <c r="K22" s="9" t="e">
        <f t="shared" si="13"/>
        <v>#DIV/0!</v>
      </c>
    </row>
    <row r="23" spans="1:11" x14ac:dyDescent="0.25">
      <c r="A23" s="2"/>
      <c r="B23" s="9">
        <v>6</v>
      </c>
      <c r="C23" s="9"/>
      <c r="D23" s="10" t="e">
        <f t="shared" si="7"/>
        <v>#DIV/0!</v>
      </c>
      <c r="E23" s="9"/>
      <c r="F23" s="9">
        <f t="shared" si="8"/>
        <v>0</v>
      </c>
      <c r="G23" s="11" t="e">
        <f t="shared" si="9"/>
        <v>#DIV/0!</v>
      </c>
      <c r="H23" s="11" t="e">
        <f t="shared" si="11"/>
        <v>#DIV/0!</v>
      </c>
      <c r="I23" s="11" t="e">
        <f t="shared" si="12"/>
        <v>#DIV/0!</v>
      </c>
      <c r="J23" s="12" t="e">
        <f t="shared" si="10"/>
        <v>#DIV/0!</v>
      </c>
      <c r="K23" s="9" t="e">
        <f t="shared" si="13"/>
        <v>#DIV/0!</v>
      </c>
    </row>
    <row r="24" spans="1:11" x14ac:dyDescent="0.25">
      <c r="A24" s="2"/>
      <c r="B24" s="9">
        <v>5</v>
      </c>
      <c r="C24" s="9"/>
      <c r="D24" s="10" t="e">
        <f t="shared" si="7"/>
        <v>#DIV/0!</v>
      </c>
      <c r="E24" s="9"/>
      <c r="F24" s="9">
        <f t="shared" si="8"/>
        <v>0</v>
      </c>
      <c r="G24" s="11" t="e">
        <f t="shared" si="9"/>
        <v>#DIV/0!</v>
      </c>
      <c r="H24" s="11" t="e">
        <f t="shared" si="11"/>
        <v>#DIV/0!</v>
      </c>
      <c r="I24" s="11" t="e">
        <f t="shared" si="12"/>
        <v>#DIV/0!</v>
      </c>
      <c r="J24" s="12" t="e">
        <f t="shared" si="10"/>
        <v>#DIV/0!</v>
      </c>
      <c r="K24" s="9" t="e">
        <f t="shared" si="13"/>
        <v>#DIV/0!</v>
      </c>
    </row>
    <row r="25" spans="1:11" x14ac:dyDescent="0.25">
      <c r="A25" s="2"/>
      <c r="B25" s="9">
        <v>4</v>
      </c>
      <c r="C25" s="9"/>
      <c r="D25" s="10" t="e">
        <f t="shared" si="7"/>
        <v>#DIV/0!</v>
      </c>
      <c r="E25" s="9"/>
      <c r="F25" s="9">
        <f t="shared" si="8"/>
        <v>0</v>
      </c>
      <c r="G25" s="11" t="e">
        <f t="shared" si="9"/>
        <v>#DIV/0!</v>
      </c>
      <c r="H25" s="11" t="e">
        <f t="shared" si="11"/>
        <v>#DIV/0!</v>
      </c>
      <c r="I25" s="11" t="e">
        <f t="shared" si="12"/>
        <v>#DIV/0!</v>
      </c>
      <c r="J25" s="12" t="e">
        <f t="shared" si="10"/>
        <v>#DIV/0!</v>
      </c>
      <c r="K25" s="9" t="e">
        <f t="shared" si="13"/>
        <v>#DIV/0!</v>
      </c>
    </row>
    <row r="26" spans="1:11" x14ac:dyDescent="0.25">
      <c r="A26" s="2"/>
      <c r="B26" s="9">
        <v>3</v>
      </c>
      <c r="C26" s="9"/>
      <c r="D26" s="10" t="e">
        <f t="shared" si="7"/>
        <v>#DIV/0!</v>
      </c>
      <c r="E26" s="9"/>
      <c r="F26" s="9">
        <f t="shared" si="8"/>
        <v>0</v>
      </c>
      <c r="G26" s="11" t="e">
        <f t="shared" si="9"/>
        <v>#DIV/0!</v>
      </c>
      <c r="H26" s="11" t="e">
        <f t="shared" si="11"/>
        <v>#DIV/0!</v>
      </c>
      <c r="I26" s="11" t="e">
        <f t="shared" si="12"/>
        <v>#DIV/0!</v>
      </c>
      <c r="J26" s="12" t="e">
        <f t="shared" si="10"/>
        <v>#DIV/0!</v>
      </c>
      <c r="K26" s="9" t="e">
        <f t="shared" si="13"/>
        <v>#DIV/0!</v>
      </c>
    </row>
    <row r="27" spans="1:11" x14ac:dyDescent="0.25">
      <c r="A27" s="2"/>
      <c r="B27" s="9">
        <v>2</v>
      </c>
      <c r="C27" s="9"/>
      <c r="D27" s="10" t="e">
        <f t="shared" si="7"/>
        <v>#DIV/0!</v>
      </c>
      <c r="E27" s="9"/>
      <c r="F27" s="9">
        <f t="shared" si="8"/>
        <v>0</v>
      </c>
      <c r="G27" s="11" t="e">
        <f t="shared" si="9"/>
        <v>#DIV/0!</v>
      </c>
      <c r="H27" s="11" t="e">
        <f t="shared" si="11"/>
        <v>#DIV/0!</v>
      </c>
      <c r="I27" s="11" t="e">
        <f t="shared" si="12"/>
        <v>#DIV/0!</v>
      </c>
      <c r="J27" s="12" t="e">
        <f t="shared" si="10"/>
        <v>#DIV/0!</v>
      </c>
      <c r="K27" s="9" t="e">
        <f t="shared" si="13"/>
        <v>#DIV/0!</v>
      </c>
    </row>
    <row r="28" spans="1:11" x14ac:dyDescent="0.25">
      <c r="A28" s="2"/>
      <c r="B28" s="13">
        <v>1</v>
      </c>
      <c r="C28" s="13"/>
      <c r="D28" s="14" t="e">
        <f t="shared" si="7"/>
        <v>#DIV/0!</v>
      </c>
      <c r="E28" s="13"/>
      <c r="F28" s="13">
        <f t="shared" si="8"/>
        <v>0</v>
      </c>
      <c r="G28" s="15" t="e">
        <f t="shared" si="9"/>
        <v>#DIV/0!</v>
      </c>
      <c r="H28" s="15" t="e">
        <f t="shared" si="11"/>
        <v>#DIV/0!</v>
      </c>
      <c r="I28" s="15" t="e">
        <f t="shared" si="12"/>
        <v>#DIV/0!</v>
      </c>
      <c r="J28" s="16" t="e">
        <f t="shared" si="10"/>
        <v>#DIV/0!</v>
      </c>
      <c r="K28" s="13" t="e">
        <f t="shared" si="13"/>
        <v>#DIV/0!</v>
      </c>
    </row>
    <row r="29" spans="1:11" x14ac:dyDescent="0.25">
      <c r="A29" s="2"/>
      <c r="C29" s="21">
        <f>SUM(C19:C28)</f>
        <v>0</v>
      </c>
      <c r="D29" s="22" t="e">
        <f>SUM(D19:D28)</f>
        <v>#DIV/0!</v>
      </c>
      <c r="E29" s="21">
        <f>SUM(E19:E28)</f>
        <v>0</v>
      </c>
      <c r="F29" s="21">
        <f>SUM(F19:F28)</f>
        <v>0</v>
      </c>
      <c r="G29" s="23" t="e">
        <f t="shared" si="9"/>
        <v>#DIV/0!</v>
      </c>
      <c r="H29" s="21"/>
      <c r="I29" s="21"/>
      <c r="J29" s="24" t="e">
        <f>MAX(J19:J28)</f>
        <v>#DIV/0!</v>
      </c>
      <c r="K29" s="21" t="e">
        <f>SUM(K19:K28)</f>
        <v>#DIV/0!</v>
      </c>
    </row>
    <row r="30" spans="1:11" x14ac:dyDescent="0.25">
      <c r="A30" s="2"/>
    </row>
    <row r="31" spans="1:11" x14ac:dyDescent="0.25">
      <c r="A31" s="2"/>
    </row>
    <row r="32" spans="1:11" ht="14.4" customHeight="1" x14ac:dyDescent="0.3">
      <c r="A32" s="2"/>
      <c r="B32" s="98" t="s">
        <v>2</v>
      </c>
      <c r="C32" s="79"/>
      <c r="D32" s="79"/>
      <c r="E32" s="79"/>
      <c r="F32" s="79"/>
      <c r="G32" s="79"/>
      <c r="H32" s="79"/>
      <c r="I32" s="79"/>
      <c r="J32" s="79"/>
      <c r="K32" s="80"/>
    </row>
    <row r="33" spans="1:11" x14ac:dyDescent="0.25">
      <c r="A33" s="2"/>
      <c r="B33" s="20" t="s">
        <v>3</v>
      </c>
      <c r="C33" s="20" t="s">
        <v>4</v>
      </c>
      <c r="D33" s="20" t="s">
        <v>5</v>
      </c>
      <c r="E33" s="20" t="s">
        <v>6</v>
      </c>
      <c r="F33" s="20" t="s">
        <v>7</v>
      </c>
      <c r="G33" s="20" t="s">
        <v>8</v>
      </c>
      <c r="H33" s="20" t="s">
        <v>9</v>
      </c>
      <c r="I33" s="20" t="s">
        <v>10</v>
      </c>
      <c r="J33" s="20" t="s">
        <v>11</v>
      </c>
      <c r="K33" s="20" t="s">
        <v>12</v>
      </c>
    </row>
    <row r="34" spans="1:11" x14ac:dyDescent="0.25">
      <c r="A34" s="2"/>
      <c r="B34" s="5">
        <v>10</v>
      </c>
      <c r="C34" s="5"/>
      <c r="D34" s="6" t="e">
        <f t="shared" ref="D34:D43" si="14">C34/SUM($C$34:$C$43)</f>
        <v>#DIV/0!</v>
      </c>
      <c r="E34" s="5"/>
      <c r="F34" s="5">
        <f t="shared" ref="F34:F43" si="15">C34-E34</f>
        <v>0</v>
      </c>
      <c r="G34" s="7" t="e">
        <f t="shared" ref="G34:G44" si="16">E34/C34</f>
        <v>#DIV/0!</v>
      </c>
      <c r="H34" s="7" t="e">
        <f>E34/SUM(E34:E43)</f>
        <v>#DIV/0!</v>
      </c>
      <c r="I34" s="7" t="e">
        <f>F34/SUM(F34:F43)</f>
        <v>#DIV/0!</v>
      </c>
      <c r="J34" s="8" t="e">
        <f t="shared" ref="J34:J43" si="17">ABS(H34-I34)</f>
        <v>#DIV/0!</v>
      </c>
      <c r="K34" s="5" t="e">
        <f>H34*I34*0.5</f>
        <v>#DIV/0!</v>
      </c>
    </row>
    <row r="35" spans="1:11" x14ac:dyDescent="0.25">
      <c r="A35" s="2"/>
      <c r="B35" s="9">
        <v>9</v>
      </c>
      <c r="C35" s="9"/>
      <c r="D35" s="10" t="e">
        <f t="shared" si="14"/>
        <v>#DIV/0!</v>
      </c>
      <c r="E35" s="9"/>
      <c r="F35" s="9">
        <f t="shared" si="15"/>
        <v>0</v>
      </c>
      <c r="G35" s="11" t="e">
        <f t="shared" si="16"/>
        <v>#DIV/0!</v>
      </c>
      <c r="H35" s="11" t="e">
        <f t="shared" ref="H35:H43" si="18">E35/SUM($E$34:$E$43)+H34</f>
        <v>#DIV/0!</v>
      </c>
      <c r="I35" s="11" t="e">
        <f t="shared" ref="I35:I43" si="19">F35/SUM($F$34:$F$43)+I34</f>
        <v>#DIV/0!</v>
      </c>
      <c r="J35" s="12" t="e">
        <f t="shared" si="17"/>
        <v>#DIV/0!</v>
      </c>
      <c r="K35" s="9" t="e">
        <f t="shared" ref="K35:K43" si="20">(H35+H34)*(I35-I34)*0.5</f>
        <v>#DIV/0!</v>
      </c>
    </row>
    <row r="36" spans="1:11" x14ac:dyDescent="0.25">
      <c r="A36" s="2"/>
      <c r="B36" s="9">
        <v>8</v>
      </c>
      <c r="C36" s="9"/>
      <c r="D36" s="10" t="e">
        <f t="shared" si="14"/>
        <v>#DIV/0!</v>
      </c>
      <c r="E36" s="9"/>
      <c r="F36" s="9">
        <f t="shared" si="15"/>
        <v>0</v>
      </c>
      <c r="G36" s="11" t="e">
        <f t="shared" si="16"/>
        <v>#DIV/0!</v>
      </c>
      <c r="H36" s="11" t="e">
        <f t="shared" si="18"/>
        <v>#DIV/0!</v>
      </c>
      <c r="I36" s="11" t="e">
        <f t="shared" si="19"/>
        <v>#DIV/0!</v>
      </c>
      <c r="J36" s="12" t="e">
        <f t="shared" si="17"/>
        <v>#DIV/0!</v>
      </c>
      <c r="K36" s="9" t="e">
        <f t="shared" si="20"/>
        <v>#DIV/0!</v>
      </c>
    </row>
    <row r="37" spans="1:11" x14ac:dyDescent="0.25">
      <c r="A37" s="2"/>
      <c r="B37" s="9">
        <v>7</v>
      </c>
      <c r="C37" s="9"/>
      <c r="D37" s="10" t="e">
        <f t="shared" si="14"/>
        <v>#DIV/0!</v>
      </c>
      <c r="E37" s="9"/>
      <c r="F37" s="9">
        <f t="shared" si="15"/>
        <v>0</v>
      </c>
      <c r="G37" s="11" t="e">
        <f t="shared" si="16"/>
        <v>#DIV/0!</v>
      </c>
      <c r="H37" s="11" t="e">
        <f t="shared" si="18"/>
        <v>#DIV/0!</v>
      </c>
      <c r="I37" s="11" t="e">
        <f t="shared" si="19"/>
        <v>#DIV/0!</v>
      </c>
      <c r="J37" s="12" t="e">
        <f t="shared" si="17"/>
        <v>#DIV/0!</v>
      </c>
      <c r="K37" s="9" t="e">
        <f t="shared" si="20"/>
        <v>#DIV/0!</v>
      </c>
    </row>
    <row r="38" spans="1:11" x14ac:dyDescent="0.25">
      <c r="A38" s="2"/>
      <c r="B38" s="9">
        <v>6</v>
      </c>
      <c r="C38" s="9"/>
      <c r="D38" s="10" t="e">
        <f t="shared" si="14"/>
        <v>#DIV/0!</v>
      </c>
      <c r="E38" s="9"/>
      <c r="F38" s="9">
        <f t="shared" si="15"/>
        <v>0</v>
      </c>
      <c r="G38" s="11" t="e">
        <f t="shared" si="16"/>
        <v>#DIV/0!</v>
      </c>
      <c r="H38" s="11" t="e">
        <f t="shared" si="18"/>
        <v>#DIV/0!</v>
      </c>
      <c r="I38" s="11" t="e">
        <f t="shared" si="19"/>
        <v>#DIV/0!</v>
      </c>
      <c r="J38" s="12" t="e">
        <f t="shared" si="17"/>
        <v>#DIV/0!</v>
      </c>
      <c r="K38" s="9" t="e">
        <f t="shared" si="20"/>
        <v>#DIV/0!</v>
      </c>
    </row>
    <row r="39" spans="1:11" x14ac:dyDescent="0.25">
      <c r="A39" s="2"/>
      <c r="B39" s="9">
        <v>5</v>
      </c>
      <c r="C39" s="9"/>
      <c r="D39" s="10" t="e">
        <f t="shared" si="14"/>
        <v>#DIV/0!</v>
      </c>
      <c r="E39" s="9"/>
      <c r="F39" s="9">
        <f t="shared" si="15"/>
        <v>0</v>
      </c>
      <c r="G39" s="11" t="e">
        <f t="shared" si="16"/>
        <v>#DIV/0!</v>
      </c>
      <c r="H39" s="11" t="e">
        <f t="shared" si="18"/>
        <v>#DIV/0!</v>
      </c>
      <c r="I39" s="11" t="e">
        <f t="shared" si="19"/>
        <v>#DIV/0!</v>
      </c>
      <c r="J39" s="12" t="e">
        <f t="shared" si="17"/>
        <v>#DIV/0!</v>
      </c>
      <c r="K39" s="9" t="e">
        <f t="shared" si="20"/>
        <v>#DIV/0!</v>
      </c>
    </row>
    <row r="40" spans="1:11" x14ac:dyDescent="0.25">
      <c r="A40" s="2"/>
      <c r="B40" s="9">
        <v>4</v>
      </c>
      <c r="C40" s="9"/>
      <c r="D40" s="10" t="e">
        <f t="shared" si="14"/>
        <v>#DIV/0!</v>
      </c>
      <c r="E40" s="9"/>
      <c r="F40" s="9">
        <f t="shared" si="15"/>
        <v>0</v>
      </c>
      <c r="G40" s="11" t="e">
        <f t="shared" si="16"/>
        <v>#DIV/0!</v>
      </c>
      <c r="H40" s="11" t="e">
        <f t="shared" si="18"/>
        <v>#DIV/0!</v>
      </c>
      <c r="I40" s="11" t="e">
        <f t="shared" si="19"/>
        <v>#DIV/0!</v>
      </c>
      <c r="J40" s="12" t="e">
        <f t="shared" si="17"/>
        <v>#DIV/0!</v>
      </c>
      <c r="K40" s="9" t="e">
        <f t="shared" si="20"/>
        <v>#DIV/0!</v>
      </c>
    </row>
    <row r="41" spans="1:11" x14ac:dyDescent="0.25">
      <c r="A41" s="2"/>
      <c r="B41" s="9">
        <v>3</v>
      </c>
      <c r="C41" s="9"/>
      <c r="D41" s="10" t="e">
        <f t="shared" si="14"/>
        <v>#DIV/0!</v>
      </c>
      <c r="E41" s="9"/>
      <c r="F41" s="9">
        <f t="shared" si="15"/>
        <v>0</v>
      </c>
      <c r="G41" s="11" t="e">
        <f t="shared" si="16"/>
        <v>#DIV/0!</v>
      </c>
      <c r="H41" s="11" t="e">
        <f t="shared" si="18"/>
        <v>#DIV/0!</v>
      </c>
      <c r="I41" s="11" t="e">
        <f t="shared" si="19"/>
        <v>#DIV/0!</v>
      </c>
      <c r="J41" s="12" t="e">
        <f t="shared" si="17"/>
        <v>#DIV/0!</v>
      </c>
      <c r="K41" s="9" t="e">
        <f t="shared" si="20"/>
        <v>#DIV/0!</v>
      </c>
    </row>
    <row r="42" spans="1:11" x14ac:dyDescent="0.25">
      <c r="A42" s="2"/>
      <c r="B42" s="9">
        <v>2</v>
      </c>
      <c r="C42" s="9"/>
      <c r="D42" s="10" t="e">
        <f t="shared" si="14"/>
        <v>#DIV/0!</v>
      </c>
      <c r="E42" s="9"/>
      <c r="F42" s="9">
        <f t="shared" si="15"/>
        <v>0</v>
      </c>
      <c r="G42" s="11" t="e">
        <f t="shared" si="16"/>
        <v>#DIV/0!</v>
      </c>
      <c r="H42" s="11" t="e">
        <f t="shared" si="18"/>
        <v>#DIV/0!</v>
      </c>
      <c r="I42" s="11" t="e">
        <f t="shared" si="19"/>
        <v>#DIV/0!</v>
      </c>
      <c r="J42" s="12" t="e">
        <f t="shared" si="17"/>
        <v>#DIV/0!</v>
      </c>
      <c r="K42" s="9" t="e">
        <f t="shared" si="20"/>
        <v>#DIV/0!</v>
      </c>
    </row>
    <row r="43" spans="1:11" x14ac:dyDescent="0.25">
      <c r="A43" s="2"/>
      <c r="B43" s="13">
        <v>1</v>
      </c>
      <c r="C43" s="13"/>
      <c r="D43" s="14" t="e">
        <f t="shared" si="14"/>
        <v>#DIV/0!</v>
      </c>
      <c r="E43" s="13"/>
      <c r="F43" s="13">
        <f t="shared" si="15"/>
        <v>0</v>
      </c>
      <c r="G43" s="15" t="e">
        <f t="shared" si="16"/>
        <v>#DIV/0!</v>
      </c>
      <c r="H43" s="15" t="e">
        <f t="shared" si="18"/>
        <v>#DIV/0!</v>
      </c>
      <c r="I43" s="15" t="e">
        <f t="shared" si="19"/>
        <v>#DIV/0!</v>
      </c>
      <c r="J43" s="16" t="e">
        <f t="shared" si="17"/>
        <v>#DIV/0!</v>
      </c>
      <c r="K43" s="13" t="e">
        <f t="shared" si="20"/>
        <v>#DIV/0!</v>
      </c>
    </row>
    <row r="44" spans="1:11" x14ac:dyDescent="0.25">
      <c r="A44" s="2"/>
      <c r="C44" s="21">
        <f>SUM(C34:C43)</f>
        <v>0</v>
      </c>
      <c r="D44" s="22" t="e">
        <f>SUM(D34:D43)</f>
        <v>#DIV/0!</v>
      </c>
      <c r="E44" s="21">
        <f>SUM(E34:E43)</f>
        <v>0</v>
      </c>
      <c r="F44" s="21">
        <f>SUM(F34:F43)</f>
        <v>0</v>
      </c>
      <c r="G44" s="23" t="e">
        <f t="shared" si="16"/>
        <v>#DIV/0!</v>
      </c>
      <c r="H44" s="21"/>
      <c r="I44" s="21"/>
      <c r="J44" s="24" t="e">
        <f>MAX(J34:J43)</f>
        <v>#DIV/0!</v>
      </c>
      <c r="K44" s="21" t="e">
        <f>SUM(K34:K43)</f>
        <v>#DIV/0!</v>
      </c>
    </row>
    <row r="47" spans="1:11" ht="14.4" customHeight="1" x14ac:dyDescent="0.3">
      <c r="B47" s="98" t="s">
        <v>2</v>
      </c>
      <c r="C47" s="79"/>
      <c r="D47" s="79"/>
      <c r="E47" s="79"/>
      <c r="F47" s="79"/>
      <c r="G47" s="79"/>
      <c r="H47" s="79"/>
      <c r="I47" s="79"/>
      <c r="J47" s="79"/>
      <c r="K47" s="80"/>
    </row>
    <row r="48" spans="1:11" x14ac:dyDescent="0.25">
      <c r="A48" s="2"/>
      <c r="B48" s="20" t="s">
        <v>3</v>
      </c>
      <c r="C48" s="20" t="s">
        <v>4</v>
      </c>
      <c r="D48" s="20" t="s">
        <v>5</v>
      </c>
      <c r="E48" s="20" t="s">
        <v>6</v>
      </c>
      <c r="F48" s="20" t="s">
        <v>7</v>
      </c>
      <c r="G48" s="20" t="s">
        <v>8</v>
      </c>
      <c r="H48" s="20" t="s">
        <v>9</v>
      </c>
      <c r="I48" s="20" t="s">
        <v>10</v>
      </c>
      <c r="J48" s="20" t="s">
        <v>11</v>
      </c>
      <c r="K48" s="20" t="s">
        <v>12</v>
      </c>
    </row>
    <row r="49" spans="1:11" x14ac:dyDescent="0.25">
      <c r="A49" s="2"/>
      <c r="B49" s="5">
        <v>10</v>
      </c>
      <c r="C49" s="5"/>
      <c r="D49" s="6" t="e">
        <f t="shared" ref="D49:D58" si="21">C49/SUM($C$49:$C$58)</f>
        <v>#DIV/0!</v>
      </c>
      <c r="E49" s="5"/>
      <c r="F49" s="5">
        <f t="shared" ref="F49:F58" si="22">C49-E49</f>
        <v>0</v>
      </c>
      <c r="G49" s="7" t="e">
        <f t="shared" ref="G49:G59" si="23">E49/C49</f>
        <v>#DIV/0!</v>
      </c>
      <c r="H49" s="7" t="e">
        <f>E49/SUM(E49:E58)</f>
        <v>#DIV/0!</v>
      </c>
      <c r="I49" s="7" t="e">
        <f>F49/SUM(F49:F58)</f>
        <v>#DIV/0!</v>
      </c>
      <c r="J49" s="8" t="e">
        <f t="shared" ref="J49:J58" si="24">ABS(H49-I49)</f>
        <v>#DIV/0!</v>
      </c>
      <c r="K49" s="5" t="e">
        <f>H49*I49*0.5</f>
        <v>#DIV/0!</v>
      </c>
    </row>
    <row r="50" spans="1:11" x14ac:dyDescent="0.25">
      <c r="A50" s="2"/>
      <c r="B50" s="9">
        <v>9</v>
      </c>
      <c r="C50" s="9"/>
      <c r="D50" s="10" t="e">
        <f t="shared" si="21"/>
        <v>#DIV/0!</v>
      </c>
      <c r="E50" s="9"/>
      <c r="F50" s="9">
        <f t="shared" si="22"/>
        <v>0</v>
      </c>
      <c r="G50" s="11" t="e">
        <f t="shared" si="23"/>
        <v>#DIV/0!</v>
      </c>
      <c r="H50" s="11" t="e">
        <f t="shared" ref="H50:H58" si="25">E50/SUM($E$49:$E$58)+H49</f>
        <v>#DIV/0!</v>
      </c>
      <c r="I50" s="11" t="e">
        <f t="shared" ref="I50:I58" si="26">F50/SUM($F$49:$F$58)+I49</f>
        <v>#DIV/0!</v>
      </c>
      <c r="J50" s="12" t="e">
        <f t="shared" si="24"/>
        <v>#DIV/0!</v>
      </c>
      <c r="K50" s="9" t="e">
        <f t="shared" ref="K50:K58" si="27">(H50+H49)*(I50-I49)*0.5</f>
        <v>#DIV/0!</v>
      </c>
    </row>
    <row r="51" spans="1:11" x14ac:dyDescent="0.25">
      <c r="A51" s="2"/>
      <c r="B51" s="9">
        <v>8</v>
      </c>
      <c r="C51" s="9"/>
      <c r="D51" s="10" t="e">
        <f t="shared" si="21"/>
        <v>#DIV/0!</v>
      </c>
      <c r="E51" s="9"/>
      <c r="F51" s="9">
        <f t="shared" si="22"/>
        <v>0</v>
      </c>
      <c r="G51" s="11" t="e">
        <f t="shared" si="23"/>
        <v>#DIV/0!</v>
      </c>
      <c r="H51" s="11" t="e">
        <f t="shared" si="25"/>
        <v>#DIV/0!</v>
      </c>
      <c r="I51" s="11" t="e">
        <f t="shared" si="26"/>
        <v>#DIV/0!</v>
      </c>
      <c r="J51" s="12" t="e">
        <f t="shared" si="24"/>
        <v>#DIV/0!</v>
      </c>
      <c r="K51" s="9" t="e">
        <f t="shared" si="27"/>
        <v>#DIV/0!</v>
      </c>
    </row>
    <row r="52" spans="1:11" x14ac:dyDescent="0.25">
      <c r="A52" s="2"/>
      <c r="B52" s="9">
        <v>7</v>
      </c>
      <c r="C52" s="9"/>
      <c r="D52" s="10" t="e">
        <f t="shared" si="21"/>
        <v>#DIV/0!</v>
      </c>
      <c r="E52" s="9"/>
      <c r="F52" s="9">
        <f t="shared" si="22"/>
        <v>0</v>
      </c>
      <c r="G52" s="11" t="e">
        <f t="shared" si="23"/>
        <v>#DIV/0!</v>
      </c>
      <c r="H52" s="11" t="e">
        <f t="shared" si="25"/>
        <v>#DIV/0!</v>
      </c>
      <c r="I52" s="11" t="e">
        <f t="shared" si="26"/>
        <v>#DIV/0!</v>
      </c>
      <c r="J52" s="12" t="e">
        <f t="shared" si="24"/>
        <v>#DIV/0!</v>
      </c>
      <c r="K52" s="9" t="e">
        <f t="shared" si="27"/>
        <v>#DIV/0!</v>
      </c>
    </row>
    <row r="53" spans="1:11" x14ac:dyDescent="0.25">
      <c r="A53" s="2"/>
      <c r="B53" s="9">
        <v>6</v>
      </c>
      <c r="C53" s="9"/>
      <c r="D53" s="10" t="e">
        <f t="shared" si="21"/>
        <v>#DIV/0!</v>
      </c>
      <c r="E53" s="9"/>
      <c r="F53" s="9">
        <f t="shared" si="22"/>
        <v>0</v>
      </c>
      <c r="G53" s="11" t="e">
        <f t="shared" si="23"/>
        <v>#DIV/0!</v>
      </c>
      <c r="H53" s="11" t="e">
        <f t="shared" si="25"/>
        <v>#DIV/0!</v>
      </c>
      <c r="I53" s="11" t="e">
        <f t="shared" si="26"/>
        <v>#DIV/0!</v>
      </c>
      <c r="J53" s="12" t="e">
        <f t="shared" si="24"/>
        <v>#DIV/0!</v>
      </c>
      <c r="K53" s="9" t="e">
        <f t="shared" si="27"/>
        <v>#DIV/0!</v>
      </c>
    </row>
    <row r="54" spans="1:11" x14ac:dyDescent="0.25">
      <c r="A54" s="2"/>
      <c r="B54" s="9">
        <v>5</v>
      </c>
      <c r="C54" s="9"/>
      <c r="D54" s="10" t="e">
        <f t="shared" si="21"/>
        <v>#DIV/0!</v>
      </c>
      <c r="E54" s="9"/>
      <c r="F54" s="9">
        <f t="shared" si="22"/>
        <v>0</v>
      </c>
      <c r="G54" s="11" t="e">
        <f t="shared" si="23"/>
        <v>#DIV/0!</v>
      </c>
      <c r="H54" s="11" t="e">
        <f t="shared" si="25"/>
        <v>#DIV/0!</v>
      </c>
      <c r="I54" s="11" t="e">
        <f t="shared" si="26"/>
        <v>#DIV/0!</v>
      </c>
      <c r="J54" s="12" t="e">
        <f t="shared" si="24"/>
        <v>#DIV/0!</v>
      </c>
      <c r="K54" s="9" t="e">
        <f t="shared" si="27"/>
        <v>#DIV/0!</v>
      </c>
    </row>
    <row r="55" spans="1:11" x14ac:dyDescent="0.25">
      <c r="A55" s="2"/>
      <c r="B55" s="9">
        <v>4</v>
      </c>
      <c r="C55" s="9"/>
      <c r="D55" s="10" t="e">
        <f t="shared" si="21"/>
        <v>#DIV/0!</v>
      </c>
      <c r="E55" s="9"/>
      <c r="F55" s="9">
        <f t="shared" si="22"/>
        <v>0</v>
      </c>
      <c r="G55" s="11" t="e">
        <f t="shared" si="23"/>
        <v>#DIV/0!</v>
      </c>
      <c r="H55" s="11" t="e">
        <f t="shared" si="25"/>
        <v>#DIV/0!</v>
      </c>
      <c r="I55" s="11" t="e">
        <f t="shared" si="26"/>
        <v>#DIV/0!</v>
      </c>
      <c r="J55" s="12" t="e">
        <f t="shared" si="24"/>
        <v>#DIV/0!</v>
      </c>
      <c r="K55" s="9" t="e">
        <f t="shared" si="27"/>
        <v>#DIV/0!</v>
      </c>
    </row>
    <row r="56" spans="1:11" x14ac:dyDescent="0.25">
      <c r="A56" s="2"/>
      <c r="B56" s="9">
        <v>3</v>
      </c>
      <c r="C56" s="9"/>
      <c r="D56" s="10" t="e">
        <f t="shared" si="21"/>
        <v>#DIV/0!</v>
      </c>
      <c r="E56" s="9"/>
      <c r="F56" s="9">
        <f t="shared" si="22"/>
        <v>0</v>
      </c>
      <c r="G56" s="11" t="e">
        <f t="shared" si="23"/>
        <v>#DIV/0!</v>
      </c>
      <c r="H56" s="11" t="e">
        <f t="shared" si="25"/>
        <v>#DIV/0!</v>
      </c>
      <c r="I56" s="11" t="e">
        <f t="shared" si="26"/>
        <v>#DIV/0!</v>
      </c>
      <c r="J56" s="12" t="e">
        <f t="shared" si="24"/>
        <v>#DIV/0!</v>
      </c>
      <c r="K56" s="9" t="e">
        <f t="shared" si="27"/>
        <v>#DIV/0!</v>
      </c>
    </row>
    <row r="57" spans="1:11" x14ac:dyDescent="0.25">
      <c r="A57" s="2"/>
      <c r="B57" s="9">
        <v>2</v>
      </c>
      <c r="C57" s="9"/>
      <c r="D57" s="10" t="e">
        <f t="shared" si="21"/>
        <v>#DIV/0!</v>
      </c>
      <c r="E57" s="9"/>
      <c r="F57" s="9">
        <f t="shared" si="22"/>
        <v>0</v>
      </c>
      <c r="G57" s="11" t="e">
        <f t="shared" si="23"/>
        <v>#DIV/0!</v>
      </c>
      <c r="H57" s="11" t="e">
        <f t="shared" si="25"/>
        <v>#DIV/0!</v>
      </c>
      <c r="I57" s="11" t="e">
        <f t="shared" si="26"/>
        <v>#DIV/0!</v>
      </c>
      <c r="J57" s="12" t="e">
        <f t="shared" si="24"/>
        <v>#DIV/0!</v>
      </c>
      <c r="K57" s="9" t="e">
        <f t="shared" si="27"/>
        <v>#DIV/0!</v>
      </c>
    </row>
    <row r="58" spans="1:11" x14ac:dyDescent="0.25">
      <c r="A58" s="2"/>
      <c r="B58" s="13">
        <v>1</v>
      </c>
      <c r="C58" s="13"/>
      <c r="D58" s="14" t="e">
        <f t="shared" si="21"/>
        <v>#DIV/0!</v>
      </c>
      <c r="E58" s="13"/>
      <c r="F58" s="13">
        <f t="shared" si="22"/>
        <v>0</v>
      </c>
      <c r="G58" s="15" t="e">
        <f t="shared" si="23"/>
        <v>#DIV/0!</v>
      </c>
      <c r="H58" s="15" t="e">
        <f t="shared" si="25"/>
        <v>#DIV/0!</v>
      </c>
      <c r="I58" s="15" t="e">
        <f t="shared" si="26"/>
        <v>#DIV/0!</v>
      </c>
      <c r="J58" s="16" t="e">
        <f t="shared" si="24"/>
        <v>#DIV/0!</v>
      </c>
      <c r="K58" s="13" t="e">
        <f t="shared" si="27"/>
        <v>#DIV/0!</v>
      </c>
    </row>
    <row r="59" spans="1:11" x14ac:dyDescent="0.25">
      <c r="A59" s="2"/>
      <c r="C59" s="21">
        <f>SUM(C49:C58)</f>
        <v>0</v>
      </c>
      <c r="D59" s="22" t="e">
        <f>SUM(D49:D58)</f>
        <v>#DIV/0!</v>
      </c>
      <c r="E59" s="21">
        <f>SUM(E49:E58)</f>
        <v>0</v>
      </c>
      <c r="F59" s="21">
        <f>SUM(F49:F58)</f>
        <v>0</v>
      </c>
      <c r="G59" s="23" t="e">
        <f t="shared" si="23"/>
        <v>#DIV/0!</v>
      </c>
      <c r="H59" s="21"/>
      <c r="I59" s="21"/>
      <c r="J59" s="24" t="e">
        <f>MAX(J49:J58)</f>
        <v>#DIV/0!</v>
      </c>
      <c r="K59" s="21" t="e">
        <f>SUM(K49:K58)</f>
        <v>#DIV/0!</v>
      </c>
    </row>
    <row r="61" spans="1:11" x14ac:dyDescent="0.25">
      <c r="A61" s="2"/>
    </row>
    <row r="62" spans="1:11" ht="14.4" customHeight="1" x14ac:dyDescent="0.3">
      <c r="A62" s="2"/>
      <c r="B62" s="98" t="s">
        <v>2</v>
      </c>
      <c r="C62" s="79"/>
      <c r="D62" s="79"/>
      <c r="E62" s="79"/>
      <c r="F62" s="79"/>
      <c r="G62" s="79"/>
      <c r="H62" s="79"/>
      <c r="I62" s="79"/>
      <c r="J62" s="79"/>
      <c r="K62" s="80"/>
    </row>
    <row r="63" spans="1:11" x14ac:dyDescent="0.25">
      <c r="A63" s="2"/>
      <c r="B63" s="20" t="s">
        <v>3</v>
      </c>
      <c r="C63" s="20" t="s">
        <v>4</v>
      </c>
      <c r="D63" s="20" t="s">
        <v>5</v>
      </c>
      <c r="E63" s="20" t="s">
        <v>6</v>
      </c>
      <c r="F63" s="20" t="s">
        <v>7</v>
      </c>
      <c r="G63" s="20" t="s">
        <v>8</v>
      </c>
      <c r="H63" s="20" t="s">
        <v>9</v>
      </c>
      <c r="I63" s="20" t="s">
        <v>10</v>
      </c>
      <c r="J63" s="20" t="s">
        <v>11</v>
      </c>
      <c r="K63" s="20" t="s">
        <v>12</v>
      </c>
    </row>
    <row r="64" spans="1:11" x14ac:dyDescent="0.25">
      <c r="A64" s="2"/>
      <c r="B64" s="5">
        <v>10</v>
      </c>
      <c r="C64" s="5"/>
      <c r="D64" s="6" t="e">
        <f t="shared" ref="D64:D73" si="28">C64/SUM($C$64:$C$73)</f>
        <v>#DIV/0!</v>
      </c>
      <c r="E64" s="5"/>
      <c r="F64" s="5">
        <f t="shared" ref="F64:F73" si="29">C64-E64</f>
        <v>0</v>
      </c>
      <c r="G64" s="7" t="e">
        <f t="shared" ref="G64:G74" si="30">E64/C64</f>
        <v>#DIV/0!</v>
      </c>
      <c r="H64" s="7" t="e">
        <f>E64/SUM(E64:E73)</f>
        <v>#DIV/0!</v>
      </c>
      <c r="I64" s="7" t="e">
        <f>F64/SUM(F64:F73)</f>
        <v>#DIV/0!</v>
      </c>
      <c r="J64" s="8" t="e">
        <f t="shared" ref="J64:J73" si="31">ABS(H64-I64)</f>
        <v>#DIV/0!</v>
      </c>
      <c r="K64" s="5" t="e">
        <f>H64*I64*0.5</f>
        <v>#DIV/0!</v>
      </c>
    </row>
    <row r="65" spans="1:11" x14ac:dyDescent="0.25">
      <c r="A65" s="2"/>
      <c r="B65" s="9">
        <v>9</v>
      </c>
      <c r="C65" s="9"/>
      <c r="D65" s="10" t="e">
        <f t="shared" si="28"/>
        <v>#DIV/0!</v>
      </c>
      <c r="E65" s="9"/>
      <c r="F65" s="9">
        <f t="shared" si="29"/>
        <v>0</v>
      </c>
      <c r="G65" s="11" t="e">
        <f t="shared" si="30"/>
        <v>#DIV/0!</v>
      </c>
      <c r="H65" s="11" t="e">
        <f t="shared" ref="H65:H73" si="32">E65/SUM($E$64:$E$73)+H64</f>
        <v>#DIV/0!</v>
      </c>
      <c r="I65" s="11" t="e">
        <f t="shared" ref="I65:I73" si="33">F65/SUM($F$64:$F$73)+I64</f>
        <v>#DIV/0!</v>
      </c>
      <c r="J65" s="12" t="e">
        <f t="shared" si="31"/>
        <v>#DIV/0!</v>
      </c>
      <c r="K65" s="9" t="e">
        <f t="shared" ref="K65:K73" si="34">(H65+H64)*(I65-I64)*0.5</f>
        <v>#DIV/0!</v>
      </c>
    </row>
    <row r="66" spans="1:11" x14ac:dyDescent="0.25">
      <c r="A66" s="2"/>
      <c r="B66" s="9">
        <v>8</v>
      </c>
      <c r="C66" s="9"/>
      <c r="D66" s="10" t="e">
        <f t="shared" si="28"/>
        <v>#DIV/0!</v>
      </c>
      <c r="E66" s="9"/>
      <c r="F66" s="9">
        <f t="shared" si="29"/>
        <v>0</v>
      </c>
      <c r="G66" s="11" t="e">
        <f t="shared" si="30"/>
        <v>#DIV/0!</v>
      </c>
      <c r="H66" s="11" t="e">
        <f t="shared" si="32"/>
        <v>#DIV/0!</v>
      </c>
      <c r="I66" s="11" t="e">
        <f t="shared" si="33"/>
        <v>#DIV/0!</v>
      </c>
      <c r="J66" s="12" t="e">
        <f t="shared" si="31"/>
        <v>#DIV/0!</v>
      </c>
      <c r="K66" s="9" t="e">
        <f t="shared" si="34"/>
        <v>#DIV/0!</v>
      </c>
    </row>
    <row r="67" spans="1:11" x14ac:dyDescent="0.25">
      <c r="A67" s="2"/>
      <c r="B67" s="9">
        <v>7</v>
      </c>
      <c r="C67" s="9"/>
      <c r="D67" s="10" t="e">
        <f t="shared" si="28"/>
        <v>#DIV/0!</v>
      </c>
      <c r="E67" s="9"/>
      <c r="F67" s="9">
        <f t="shared" si="29"/>
        <v>0</v>
      </c>
      <c r="G67" s="11" t="e">
        <f t="shared" si="30"/>
        <v>#DIV/0!</v>
      </c>
      <c r="H67" s="11" t="e">
        <f t="shared" si="32"/>
        <v>#DIV/0!</v>
      </c>
      <c r="I67" s="11" t="e">
        <f t="shared" si="33"/>
        <v>#DIV/0!</v>
      </c>
      <c r="J67" s="12" t="e">
        <f t="shared" si="31"/>
        <v>#DIV/0!</v>
      </c>
      <c r="K67" s="9" t="e">
        <f t="shared" si="34"/>
        <v>#DIV/0!</v>
      </c>
    </row>
    <row r="68" spans="1:11" x14ac:dyDescent="0.25">
      <c r="A68" s="2"/>
      <c r="B68" s="9">
        <v>6</v>
      </c>
      <c r="C68" s="9"/>
      <c r="D68" s="10" t="e">
        <f t="shared" si="28"/>
        <v>#DIV/0!</v>
      </c>
      <c r="E68" s="9"/>
      <c r="F68" s="9">
        <f t="shared" si="29"/>
        <v>0</v>
      </c>
      <c r="G68" s="11" t="e">
        <f t="shared" si="30"/>
        <v>#DIV/0!</v>
      </c>
      <c r="H68" s="11" t="e">
        <f t="shared" si="32"/>
        <v>#DIV/0!</v>
      </c>
      <c r="I68" s="11" t="e">
        <f t="shared" si="33"/>
        <v>#DIV/0!</v>
      </c>
      <c r="J68" s="12" t="e">
        <f t="shared" si="31"/>
        <v>#DIV/0!</v>
      </c>
      <c r="K68" s="9" t="e">
        <f t="shared" si="34"/>
        <v>#DIV/0!</v>
      </c>
    </row>
    <row r="69" spans="1:11" x14ac:dyDescent="0.25">
      <c r="A69" s="2"/>
      <c r="B69" s="9">
        <v>5</v>
      </c>
      <c r="C69" s="9"/>
      <c r="D69" s="10" t="e">
        <f t="shared" si="28"/>
        <v>#DIV/0!</v>
      </c>
      <c r="E69" s="9"/>
      <c r="F69" s="9">
        <f t="shared" si="29"/>
        <v>0</v>
      </c>
      <c r="G69" s="11" t="e">
        <f t="shared" si="30"/>
        <v>#DIV/0!</v>
      </c>
      <c r="H69" s="11" t="e">
        <f t="shared" si="32"/>
        <v>#DIV/0!</v>
      </c>
      <c r="I69" s="11" t="e">
        <f t="shared" si="33"/>
        <v>#DIV/0!</v>
      </c>
      <c r="J69" s="12" t="e">
        <f t="shared" si="31"/>
        <v>#DIV/0!</v>
      </c>
      <c r="K69" s="9" t="e">
        <f t="shared" si="34"/>
        <v>#DIV/0!</v>
      </c>
    </row>
    <row r="70" spans="1:11" x14ac:dyDescent="0.25">
      <c r="A70" s="2"/>
      <c r="B70" s="9">
        <v>4</v>
      </c>
      <c r="C70" s="9"/>
      <c r="D70" s="10" t="e">
        <f t="shared" si="28"/>
        <v>#DIV/0!</v>
      </c>
      <c r="E70" s="9"/>
      <c r="F70" s="9">
        <f t="shared" si="29"/>
        <v>0</v>
      </c>
      <c r="G70" s="11" t="e">
        <f t="shared" si="30"/>
        <v>#DIV/0!</v>
      </c>
      <c r="H70" s="11" t="e">
        <f t="shared" si="32"/>
        <v>#DIV/0!</v>
      </c>
      <c r="I70" s="11" t="e">
        <f t="shared" si="33"/>
        <v>#DIV/0!</v>
      </c>
      <c r="J70" s="12" t="e">
        <f t="shared" si="31"/>
        <v>#DIV/0!</v>
      </c>
      <c r="K70" s="9" t="e">
        <f t="shared" si="34"/>
        <v>#DIV/0!</v>
      </c>
    </row>
    <row r="71" spans="1:11" x14ac:dyDescent="0.25">
      <c r="A71" s="2"/>
      <c r="B71" s="9">
        <v>3</v>
      </c>
      <c r="C71" s="9"/>
      <c r="D71" s="10" t="e">
        <f t="shared" si="28"/>
        <v>#DIV/0!</v>
      </c>
      <c r="E71" s="9"/>
      <c r="F71" s="9">
        <f t="shared" si="29"/>
        <v>0</v>
      </c>
      <c r="G71" s="11" t="e">
        <f t="shared" si="30"/>
        <v>#DIV/0!</v>
      </c>
      <c r="H71" s="11" t="e">
        <f t="shared" si="32"/>
        <v>#DIV/0!</v>
      </c>
      <c r="I71" s="11" t="e">
        <f t="shared" si="33"/>
        <v>#DIV/0!</v>
      </c>
      <c r="J71" s="12" t="e">
        <f t="shared" si="31"/>
        <v>#DIV/0!</v>
      </c>
      <c r="K71" s="9" t="e">
        <f t="shared" si="34"/>
        <v>#DIV/0!</v>
      </c>
    </row>
    <row r="72" spans="1:11" x14ac:dyDescent="0.25">
      <c r="A72" s="2"/>
      <c r="B72" s="9">
        <v>2</v>
      </c>
      <c r="C72" s="9"/>
      <c r="D72" s="10" t="e">
        <f t="shared" si="28"/>
        <v>#DIV/0!</v>
      </c>
      <c r="E72" s="9"/>
      <c r="F72" s="9">
        <f t="shared" si="29"/>
        <v>0</v>
      </c>
      <c r="G72" s="11" t="e">
        <f t="shared" si="30"/>
        <v>#DIV/0!</v>
      </c>
      <c r="H72" s="11" t="e">
        <f t="shared" si="32"/>
        <v>#DIV/0!</v>
      </c>
      <c r="I72" s="11" t="e">
        <f t="shared" si="33"/>
        <v>#DIV/0!</v>
      </c>
      <c r="J72" s="12" t="e">
        <f t="shared" si="31"/>
        <v>#DIV/0!</v>
      </c>
      <c r="K72" s="9" t="e">
        <f t="shared" si="34"/>
        <v>#DIV/0!</v>
      </c>
    </row>
    <row r="73" spans="1:11" x14ac:dyDescent="0.25">
      <c r="A73" s="2"/>
      <c r="B73" s="13">
        <v>1</v>
      </c>
      <c r="C73" s="13"/>
      <c r="D73" s="14" t="e">
        <f t="shared" si="28"/>
        <v>#DIV/0!</v>
      </c>
      <c r="E73" s="13"/>
      <c r="F73" s="13">
        <f t="shared" si="29"/>
        <v>0</v>
      </c>
      <c r="G73" s="15" t="e">
        <f t="shared" si="30"/>
        <v>#DIV/0!</v>
      </c>
      <c r="H73" s="15" t="e">
        <f t="shared" si="32"/>
        <v>#DIV/0!</v>
      </c>
      <c r="I73" s="15" t="e">
        <f t="shared" si="33"/>
        <v>#DIV/0!</v>
      </c>
      <c r="J73" s="16" t="e">
        <f t="shared" si="31"/>
        <v>#DIV/0!</v>
      </c>
      <c r="K73" s="13" t="e">
        <f t="shared" si="34"/>
        <v>#DIV/0!</v>
      </c>
    </row>
    <row r="74" spans="1:11" x14ac:dyDescent="0.25">
      <c r="A74" s="2"/>
      <c r="C74" s="21">
        <f>SUM(C64:C73)</f>
        <v>0</v>
      </c>
      <c r="D74" s="22" t="e">
        <f>SUM(D64:D73)</f>
        <v>#DIV/0!</v>
      </c>
      <c r="E74" s="21">
        <f>SUM(E64:E73)</f>
        <v>0</v>
      </c>
      <c r="F74" s="21">
        <f>SUM(F64:F73)</f>
        <v>0</v>
      </c>
      <c r="G74" s="23" t="e">
        <f t="shared" si="30"/>
        <v>#DIV/0!</v>
      </c>
      <c r="H74" s="21"/>
      <c r="I74" s="21"/>
      <c r="J74" s="24" t="e">
        <f>MAX(J64:J73)</f>
        <v>#DIV/0!</v>
      </c>
      <c r="K74" s="21" t="e">
        <f>SUM(K64:K73)</f>
        <v>#DIV/0!</v>
      </c>
    </row>
    <row r="75" spans="1:11" x14ac:dyDescent="0.25">
      <c r="A75" s="2"/>
    </row>
  </sheetData>
  <mergeCells count="5">
    <mergeCell ref="B32:K32"/>
    <mergeCell ref="B17:K17"/>
    <mergeCell ref="B2:K2"/>
    <mergeCell ref="B47:K47"/>
    <mergeCell ref="B62:K6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10 Tier Results (2)</vt:lpstr>
      <vt:lpstr>10 Tier Results</vt:lpstr>
      <vt:lpstr>Channelwise 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suneshpraveenrajas</dc:creator>
  <cp:lastModifiedBy>Uggirala  Rudhvi</cp:lastModifiedBy>
  <dcterms:created xsi:type="dcterms:W3CDTF">2022-02-22T15:29:41Z</dcterms:created>
  <dcterms:modified xsi:type="dcterms:W3CDTF">2026-01-07T20:33:54Z</dcterms:modified>
</cp:coreProperties>
</file>