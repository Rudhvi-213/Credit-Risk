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ggiralaRudhvi\Projects\Credit-Risk\Data\"/>
    </mc:Choice>
  </mc:AlternateContent>
  <xr:revisionPtr revIDLastSave="0" documentId="13_ncr:1_{D2165AAA-FAD4-4D66-AFA3-C4DBA5E8A89C}" xr6:coauthVersionLast="47" xr6:coauthVersionMax="47" xr10:uidLastSave="{00000000-0000-0000-0000-000000000000}"/>
  <bookViews>
    <workbookView xWindow="-108" yWindow="-108" windowWidth="23256" windowHeight="12456" tabRatio="493" xr2:uid="{00000000-000D-0000-FFFF-FFFF00000000}"/>
  </bookViews>
  <sheets>
    <sheet name="10 Tier Results" sheetId="1" r:id="rId1"/>
    <sheet name="Feature Importa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" i="1" l="1"/>
  <c r="R22" i="1"/>
  <c r="Q22" i="1"/>
  <c r="AA14" i="1"/>
  <c r="AD4" i="1" s="1"/>
  <c r="AD5" i="1" s="1"/>
  <c r="AD6" i="1" s="1"/>
  <c r="Y14" i="1"/>
  <c r="Z13" i="1" s="1"/>
  <c r="P14" i="1"/>
  <c r="S4" i="1" s="1"/>
  <c r="S5" i="1" s="1"/>
  <c r="N14" i="1"/>
  <c r="O10" i="1" s="1"/>
  <c r="E14" i="1"/>
  <c r="C14" i="1"/>
  <c r="D13" i="1" s="1"/>
  <c r="AC13" i="1"/>
  <c r="X31" i="1" s="1"/>
  <c r="AB13" i="1"/>
  <c r="R13" i="1"/>
  <c r="W31" i="1" s="1"/>
  <c r="Q13" i="1"/>
  <c r="G13" i="1"/>
  <c r="V31" i="1" s="1"/>
  <c r="F13" i="1"/>
  <c r="AC12" i="1"/>
  <c r="X30" i="1" s="1"/>
  <c r="AB12" i="1"/>
  <c r="R12" i="1"/>
  <c r="W30" i="1" s="1"/>
  <c r="Q12" i="1"/>
  <c r="G12" i="1"/>
  <c r="V30" i="1" s="1"/>
  <c r="F12" i="1"/>
  <c r="AC11" i="1"/>
  <c r="X29" i="1" s="1"/>
  <c r="AB11" i="1"/>
  <c r="R11" i="1"/>
  <c r="W29" i="1" s="1"/>
  <c r="Q11" i="1"/>
  <c r="G11" i="1"/>
  <c r="V29" i="1" s="1"/>
  <c r="F11" i="1"/>
  <c r="D11" i="1"/>
  <c r="AC10" i="1"/>
  <c r="X28" i="1" s="1"/>
  <c r="AB10" i="1"/>
  <c r="R10" i="1"/>
  <c r="W28" i="1" s="1"/>
  <c r="Q10" i="1"/>
  <c r="G10" i="1"/>
  <c r="V28" i="1" s="1"/>
  <c r="F10" i="1"/>
  <c r="D10" i="1"/>
  <c r="AC9" i="1"/>
  <c r="X27" i="1" s="1"/>
  <c r="AB9" i="1"/>
  <c r="R9" i="1"/>
  <c r="W27" i="1" s="1"/>
  <c r="Q9" i="1"/>
  <c r="G9" i="1"/>
  <c r="V27" i="1" s="1"/>
  <c r="F9" i="1"/>
  <c r="D9" i="1"/>
  <c r="AC8" i="1"/>
  <c r="X26" i="1" s="1"/>
  <c r="AB8" i="1"/>
  <c r="R8" i="1"/>
  <c r="W26" i="1" s="1"/>
  <c r="Q8" i="1"/>
  <c r="G8" i="1"/>
  <c r="V26" i="1" s="1"/>
  <c r="F8" i="1"/>
  <c r="D8" i="1"/>
  <c r="AC7" i="1"/>
  <c r="X25" i="1" s="1"/>
  <c r="AB7" i="1"/>
  <c r="R7" i="1"/>
  <c r="W25" i="1" s="1"/>
  <c r="Q7" i="1"/>
  <c r="G7" i="1"/>
  <c r="V25" i="1" s="1"/>
  <c r="F7" i="1"/>
  <c r="D7" i="1"/>
  <c r="AC6" i="1"/>
  <c r="X24" i="1" s="1"/>
  <c r="AB6" i="1"/>
  <c r="R6" i="1"/>
  <c r="W24" i="1" s="1"/>
  <c r="Q6" i="1"/>
  <c r="G6" i="1"/>
  <c r="V24" i="1" s="1"/>
  <c r="F6" i="1"/>
  <c r="D6" i="1"/>
  <c r="AC5" i="1"/>
  <c r="X23" i="1" s="1"/>
  <c r="AB5" i="1"/>
  <c r="R5" i="1"/>
  <c r="W23" i="1" s="1"/>
  <c r="Q5" i="1"/>
  <c r="G5" i="1"/>
  <c r="V23" i="1" s="1"/>
  <c r="F5" i="1"/>
  <c r="D5" i="1"/>
  <c r="AC4" i="1"/>
  <c r="X22" i="1" s="1"/>
  <c r="AB4" i="1"/>
  <c r="R4" i="1"/>
  <c r="W22" i="1" s="1"/>
  <c r="Q4" i="1"/>
  <c r="G4" i="1"/>
  <c r="V22" i="1" s="1"/>
  <c r="F4" i="1"/>
  <c r="D4" i="1"/>
  <c r="Z4" i="1" l="1"/>
  <c r="Z12" i="1"/>
  <c r="Z6" i="1"/>
  <c r="Z7" i="1"/>
  <c r="Z8" i="1"/>
  <c r="N26" i="1" s="1"/>
  <c r="Z9" i="1"/>
  <c r="Z10" i="1"/>
  <c r="N28" i="1" s="1"/>
  <c r="AC14" i="1"/>
  <c r="S21" i="1" s="1"/>
  <c r="Z5" i="1"/>
  <c r="N23" i="1" s="1"/>
  <c r="M28" i="1"/>
  <c r="N22" i="1"/>
  <c r="N31" i="1"/>
  <c r="N24" i="1"/>
  <c r="N25" i="1"/>
  <c r="N27" i="1"/>
  <c r="F14" i="1"/>
  <c r="I4" i="1" s="1"/>
  <c r="D12" i="1"/>
  <c r="D14" i="1" s="1"/>
  <c r="O11" i="1"/>
  <c r="M29" i="1" s="1"/>
  <c r="O4" i="1"/>
  <c r="M22" i="1" s="1"/>
  <c r="O5" i="1"/>
  <c r="M23" i="1" s="1"/>
  <c r="O13" i="1"/>
  <c r="M31" i="1" s="1"/>
  <c r="O6" i="1"/>
  <c r="M24" i="1" s="1"/>
  <c r="O12" i="1"/>
  <c r="O9" i="1"/>
  <c r="M27" i="1" s="1"/>
  <c r="M26" i="1"/>
  <c r="R14" i="1"/>
  <c r="R21" i="1" s="1"/>
  <c r="O7" i="1"/>
  <c r="M25" i="1" s="1"/>
  <c r="O8" i="1"/>
  <c r="Q14" i="1"/>
  <c r="AD7" i="1"/>
  <c r="S6" i="1"/>
  <c r="G14" i="1"/>
  <c r="Q21" i="1" s="1"/>
  <c r="Z11" i="1"/>
  <c r="N29" i="1" s="1"/>
  <c r="AB14" i="1"/>
  <c r="AE4" i="1" s="1"/>
  <c r="H4" i="1"/>
  <c r="Z14" i="1" l="1"/>
  <c r="K4" i="1"/>
  <c r="N30" i="1"/>
  <c r="N32" i="1" s="1"/>
  <c r="M30" i="1"/>
  <c r="M32" i="1" s="1"/>
  <c r="T4" i="1"/>
  <c r="T5" i="1" s="1"/>
  <c r="O14" i="1"/>
  <c r="AF4" i="1"/>
  <c r="AG4" i="1"/>
  <c r="J4" i="1"/>
  <c r="AD8" i="1"/>
  <c r="S7" i="1"/>
  <c r="H5" i="1"/>
  <c r="I5" i="1"/>
  <c r="AE5" i="1"/>
  <c r="V4" i="1"/>
  <c r="U4" i="1"/>
  <c r="U5" i="1" l="1"/>
  <c r="V5" i="1"/>
  <c r="T6" i="1"/>
  <c r="U6" i="1" s="1"/>
  <c r="S8" i="1"/>
  <c r="AF5" i="1"/>
  <c r="AG5" i="1"/>
  <c r="AD9" i="1"/>
  <c r="AE6" i="1"/>
  <c r="K5" i="1"/>
  <c r="H6" i="1"/>
  <c r="J5" i="1"/>
  <c r="I6" i="1"/>
  <c r="V6" i="1"/>
  <c r="T7" i="1" l="1"/>
  <c r="J6" i="1"/>
  <c r="I7" i="1"/>
  <c r="AD10" i="1"/>
  <c r="K6" i="1"/>
  <c r="H7" i="1"/>
  <c r="U7" i="1"/>
  <c r="T8" i="1"/>
  <c r="V8" i="1" s="1"/>
  <c r="S9" i="1"/>
  <c r="AF6" i="1"/>
  <c r="AG6" i="1"/>
  <c r="AE7" i="1"/>
  <c r="V7" i="1"/>
  <c r="K7" i="1" l="1"/>
  <c r="H8" i="1"/>
  <c r="AF7" i="1"/>
  <c r="AE8" i="1"/>
  <c r="AG7" i="1"/>
  <c r="AD11" i="1"/>
  <c r="J7" i="1"/>
  <c r="I8" i="1"/>
  <c r="S10" i="1"/>
  <c r="U8" i="1"/>
  <c r="T9" i="1"/>
  <c r="U9" i="1" l="1"/>
  <c r="T10" i="1"/>
  <c r="V10" i="1" s="1"/>
  <c r="AF8" i="1"/>
  <c r="AE9" i="1"/>
  <c r="AG8" i="1"/>
  <c r="S11" i="1"/>
  <c r="K8" i="1"/>
  <c r="H9" i="1"/>
  <c r="V9" i="1"/>
  <c r="J8" i="1"/>
  <c r="I9" i="1"/>
  <c r="AD12" i="1"/>
  <c r="AD13" i="1" l="1"/>
  <c r="U10" i="1"/>
  <c r="T11" i="1"/>
  <c r="V11" i="1" s="1"/>
  <c r="J9" i="1"/>
  <c r="I10" i="1"/>
  <c r="S12" i="1"/>
  <c r="AF9" i="1"/>
  <c r="AE10" i="1"/>
  <c r="AG9" i="1"/>
  <c r="K9" i="1"/>
  <c r="H10" i="1"/>
  <c r="S13" i="1" l="1"/>
  <c r="K10" i="1"/>
  <c r="H11" i="1"/>
  <c r="J10" i="1"/>
  <c r="I11" i="1"/>
  <c r="U11" i="1"/>
  <c r="T12" i="1"/>
  <c r="AF10" i="1"/>
  <c r="AE11" i="1"/>
  <c r="AG10" i="1"/>
  <c r="K11" i="1" l="1"/>
  <c r="H12" i="1"/>
  <c r="AF11" i="1"/>
  <c r="AE12" i="1"/>
  <c r="AG11" i="1"/>
  <c r="U12" i="1"/>
  <c r="T13" i="1"/>
  <c r="U13" i="1" s="1"/>
  <c r="J11" i="1"/>
  <c r="I12" i="1"/>
  <c r="V12" i="1"/>
  <c r="AF12" i="1" l="1"/>
  <c r="AE13" i="1"/>
  <c r="AG12" i="1"/>
  <c r="V13" i="1"/>
  <c r="V14" i="1" s="1"/>
  <c r="K12" i="1"/>
  <c r="H13" i="1"/>
  <c r="J12" i="1"/>
  <c r="I13" i="1"/>
  <c r="J13" i="1" s="1"/>
  <c r="K13" i="1" l="1"/>
  <c r="K14" i="1" s="1"/>
  <c r="R23" i="1"/>
  <c r="V15" i="1"/>
  <c r="AF13" i="1"/>
  <c r="AG13" i="1"/>
  <c r="AG14" i="1" s="1"/>
  <c r="S23" i="1" l="1"/>
  <c r="AG15" i="1"/>
  <c r="Q23" i="1"/>
  <c r="K15" i="1"/>
</calcChain>
</file>

<file path=xl/sharedStrings.xml><?xml version="1.0" encoding="utf-8"?>
<sst xmlns="http://schemas.openxmlformats.org/spreadsheetml/2006/main" count="359" uniqueCount="187">
  <si>
    <t>DEV Sample - Gains Table</t>
  </si>
  <si>
    <t>VAL Sample - Gains Table</t>
  </si>
  <si>
    <t>TEST Sample - Gains Table</t>
  </si>
  <si>
    <t>Tier</t>
  </si>
  <si>
    <t># Obs.</t>
  </si>
  <si>
    <t>% obs</t>
  </si>
  <si>
    <t>Bads</t>
  </si>
  <si>
    <t>Goods</t>
  </si>
  <si>
    <t>Marginal Bad %</t>
  </si>
  <si>
    <t>Cum Bad %</t>
  </si>
  <si>
    <t>Cum Good %</t>
  </si>
  <si>
    <t>KS</t>
  </si>
  <si>
    <t>AUC</t>
  </si>
  <si>
    <t>Overall</t>
  </si>
  <si>
    <t xml:space="preserve">Max KS --&gt; </t>
  </si>
  <si>
    <t>GINI --&gt;</t>
  </si>
  <si>
    <t>PSI - Computation</t>
  </si>
  <si>
    <t>DEV</t>
  </si>
  <si>
    <t>VAL</t>
  </si>
  <si>
    <t>TEST</t>
  </si>
  <si>
    <t>Tierwise Bad Rates</t>
  </si>
  <si>
    <t>DEV  - VAL</t>
  </si>
  <si>
    <t>DEV - TEST</t>
  </si>
  <si>
    <t>Bad Rate Rate</t>
  </si>
  <si>
    <t>Dev Sample</t>
  </si>
  <si>
    <t>VAL Sample</t>
  </si>
  <si>
    <t>Test Sample</t>
  </si>
  <si>
    <t>feature</t>
  </si>
  <si>
    <t>importance</t>
  </si>
  <si>
    <t>IV</t>
  </si>
  <si>
    <t>feature_selected</t>
  </si>
  <si>
    <t>score_1_4DLlLW62jReXaqbPaHp1vQ==</t>
  </si>
  <si>
    <t>Yes</t>
  </si>
  <si>
    <t>facebook_profile</t>
  </si>
  <si>
    <t>external_data_provider_email_seen_before</t>
  </si>
  <si>
    <t>score_1_DGCQep2AE5QRkNCshIAlFQ==</t>
  </si>
  <si>
    <t>income</t>
  </si>
  <si>
    <t>last_borrowed_in_months</t>
  </si>
  <si>
    <t>application_time_in_funnel</t>
  </si>
  <si>
    <t>score_1_smzX0nxh5QlePvtVf6EAeg==</t>
  </si>
  <si>
    <t>score_1_e4NYDor1NOw6XKGE60AWFw==</t>
  </si>
  <si>
    <t>risk_rate</t>
  </si>
  <si>
    <t>score_3</t>
  </si>
  <si>
    <t>score_5</t>
  </si>
  <si>
    <t>n_accounts</t>
  </si>
  <si>
    <t>credit_limit</t>
  </si>
  <si>
    <t>score_6</t>
  </si>
  <si>
    <t>score_1_fyrlulOiZ+5hoFqLa6UbDQ==</t>
  </si>
  <si>
    <t>n_issues</t>
  </si>
  <si>
    <t>last_amount_borrowed</t>
  </si>
  <si>
    <t>reported_income</t>
  </si>
  <si>
    <t>score_1_8k8UDR4Yx0qasAjkGrUZLw==</t>
  </si>
  <si>
    <t>external_data_provider_fraud_score</t>
  </si>
  <si>
    <t>ok_since</t>
  </si>
  <si>
    <t>score_4</t>
  </si>
  <si>
    <t>score_2_Fv28Bz0YRTVAT5kl1bAV6g==</t>
  </si>
  <si>
    <t>score_2_+CxEO4w7jv3QPI/BQbyqAA==</t>
  </si>
  <si>
    <t>shipping_state_BR-RR</t>
  </si>
  <si>
    <t>external_data_provider_credit_checks_last_month</t>
  </si>
  <si>
    <t>shipping_state_BR-MG</t>
  </si>
  <si>
    <t>score_2_emS9xH8CLoRNie2uSmaDAQ==</t>
  </si>
  <si>
    <t>score_2_rJZgTmANW3PjOCQLCcp4iQ==</t>
  </si>
  <si>
    <t>state_OCoEDgPLpDjHcbEmPpAjvA==</t>
  </si>
  <si>
    <t>score_2_mX2VRRG38RPiHX+MfjefRw==</t>
  </si>
  <si>
    <t>score_2_LCak332j+TYFqHC3NDwiqg==</t>
  </si>
  <si>
    <t>score_2_RO7MTL+j4PH2gNzbhNTq/A==</t>
  </si>
  <si>
    <t>score_2_6J1ZMTzN5GKHXnhM4J1JbA==</t>
  </si>
  <si>
    <t>score_2_/tdlnWjXoZ3OjdtBXzdOJQ==</t>
  </si>
  <si>
    <t>shipping_state_BR-SP</t>
  </si>
  <si>
    <t>score_2_ky19q4V1ZqgL3jnHX0wKDw==</t>
  </si>
  <si>
    <t>score_2_YLGMUI9hObSh6wD/xfanGg==</t>
  </si>
  <si>
    <t>real_state_N5/CE7lSkAfB04hVFFwllw==</t>
  </si>
  <si>
    <t>score_1_1Rk8w4Ucd5yR3KcqZzLdow==</t>
  </si>
  <si>
    <t>shipping_state_BR-RS</t>
  </si>
  <si>
    <t>state_sjJbkqJS7cXalHLBFA+EOQ==</t>
  </si>
  <si>
    <t>state_1DpYl6dtzY0qE33poow3iw==</t>
  </si>
  <si>
    <t>state_/L8vvVesB5WyAv190Hw/rQ==</t>
  </si>
  <si>
    <t>state_BB/zpwTH+8GCIVHlhzOU1Q==</t>
  </si>
  <si>
    <t>real_state_nSpvDsIsslUaX6GE6m6eQA==</t>
  </si>
  <si>
    <t>score_2_OlDYtdljgSSYM/M1L2CRaQ==</t>
  </si>
  <si>
    <t>shipping_state_BR-PA</t>
  </si>
  <si>
    <t>score_2_vJyc9xom9v7hwFMPTIpmKw==</t>
  </si>
  <si>
    <t>No</t>
  </si>
  <si>
    <t>shipping_state_BR-RO</t>
  </si>
  <si>
    <t>score_2_wkeCdGeu5sEv4/fjwR0aDg==</t>
  </si>
  <si>
    <t>real_state_n+xK9CfX0bCn77lClTWviw==</t>
  </si>
  <si>
    <t>state_GW2VZ3dN3OGHSjQ6JkfqQw==</t>
  </si>
  <si>
    <t>score_2_A+QuW1n/ABeiVVe/9CRZ9Q==</t>
  </si>
  <si>
    <t>score_2_bopP0NxW3+r8tn9xIHTaOw==</t>
  </si>
  <si>
    <t>shipping_state_BR-AM</t>
  </si>
  <si>
    <t>state_0lQuvmygO68ZFXZjzHEOww==</t>
  </si>
  <si>
    <t>score_2_7h8PTkrlTWUPP3yuyP4rUg==</t>
  </si>
  <si>
    <t>score_2_tHpS8e9F8d9zg3iOQM9tsA==</t>
  </si>
  <si>
    <t>state_NX0S6z5x5fEStwXfBQN5FQ==</t>
  </si>
  <si>
    <t>score_2_wjdj2vxjWoDsEIk0l09ynw==</t>
  </si>
  <si>
    <t>score_2_w1miZqhB5+RSamEQJa0rqg==</t>
  </si>
  <si>
    <t>shipping_state_BR-PE</t>
  </si>
  <si>
    <t>n_bankruptcies</t>
  </si>
  <si>
    <t>score_2_+2hzpeP1RWr8PEvL1WTUdw==</t>
  </si>
  <si>
    <t>score_2_NLvAOzzmJba/0zolQnWF5Q==</t>
  </si>
  <si>
    <t>shipping_state_BR-GO</t>
  </si>
  <si>
    <t>state_xsd3ZdsI3356I3xMxZeiqQ==</t>
  </si>
  <si>
    <t>external_data_provider_credit_checks_last_year</t>
  </si>
  <si>
    <t>shipping_state_BR-ES</t>
  </si>
  <si>
    <t>state_82aTqSzrTImY+SbAOBQzGQ==</t>
  </si>
  <si>
    <t>state_9sS116y/1CqWLVJ8nFOGZg==</t>
  </si>
  <si>
    <t>state_8ZKN5LHxobLWh6drCDlmhQ==</t>
  </si>
  <si>
    <t>state_ygE7OTdsxRMLeXMa0EZwZw==</t>
  </si>
  <si>
    <t>shipping_state_BR-RN</t>
  </si>
  <si>
    <t>score_2_IOVu8au3ISbo6+zmfnYwMg==</t>
  </si>
  <si>
    <t>shipping_state_BR-MA</t>
  </si>
  <si>
    <t>score_2_cdpgyOyZS04uXerMNu7uCw==</t>
  </si>
  <si>
    <t>shipping_state_BR-PB</t>
  </si>
  <si>
    <t>state_bNDXnbe7XAx/VUe+cbjDiw==</t>
  </si>
  <si>
    <t>score_2_d/7Hedyz7ovK9Pn1CYN4+A==</t>
  </si>
  <si>
    <t>real_state_UX7AdFYgQh+VrVC5eIaU9w==</t>
  </si>
  <si>
    <t>shipping_state_BR-BA</t>
  </si>
  <si>
    <t>state_VafbDA6D5W2TpGMAUJbW8Q==</t>
  </si>
  <si>
    <t>state_fMOpZ7DFhwQgTxW547UMCQ==</t>
  </si>
  <si>
    <t>state_qItmSqWrjm+MopDA+UpKRw==</t>
  </si>
  <si>
    <t>state_LXZkF0tV1Ma9JIlIvaUDiw==</t>
  </si>
  <si>
    <t>shipping_state_BR-MS</t>
  </si>
  <si>
    <t>score_2_dCm9hFKfdRm7ej3jW+gyxw==</t>
  </si>
  <si>
    <t>state_ZVfsutsd1Go0zZEnGp0vEA==</t>
  </si>
  <si>
    <t>state_QCVqG0wT4xPLQuiTIExO2w==</t>
  </si>
  <si>
    <t>state_/78Q+NAqnsdbiE2JReYK9Q==</t>
  </si>
  <si>
    <t>n_defaulted_loans</t>
  </si>
  <si>
    <t>state_GFOaXqGcKJxSSF9aBDDNaA==</t>
  </si>
  <si>
    <t>shipping_state_BR-PR</t>
  </si>
  <si>
    <t>state_/EoxQEzy1PWWTtv6DNwr2w==</t>
  </si>
  <si>
    <t>shipping_state_BR-CE</t>
  </si>
  <si>
    <t>state_DLK5rpOxZhCM5oQvfUpkTQ==</t>
  </si>
  <si>
    <t>shipping_state_BR-AP</t>
  </si>
  <si>
    <t>score_2_7h+tk4z7O9brtBSe1rNjxA==</t>
  </si>
  <si>
    <t>state_0gQEZgRHqS5KSF3oWQrQfw==</t>
  </si>
  <si>
    <t>state_1tPrGp5Yx4Yev8EWxfJw2w==</t>
  </si>
  <si>
    <t>score_2_osCzpM4hJrxugqWWuZmMWw==</t>
  </si>
  <si>
    <t>score_2_dWJRASUFMejk3AHZ1p1Gkg==</t>
  </si>
  <si>
    <t>score_2_tQUTfUyeuGkhRotd+6WjVg==</t>
  </si>
  <si>
    <t>score_2_pAzpxkhjPsjWldgSX21+zg==</t>
  </si>
  <si>
    <t>score_2_55UK234RR1d7HIWJjmq9tw==</t>
  </si>
  <si>
    <t>score_2_5/uMrqKj3OL/Xk5OrGx9fg==</t>
  </si>
  <si>
    <t>score_2_O4i7FxcROACMVTCgI0WXuA==</t>
  </si>
  <si>
    <t>score_2_SaamrHMo23l/3TwXOWgVzw==</t>
  </si>
  <si>
    <t>state_9PWmQ/Uv20r8XvcwDXWUSw==</t>
  </si>
  <si>
    <t>state_1xxlFOWSFxK0/J2VdCKP3g==</t>
  </si>
  <si>
    <t>state_5hPtRY8gW/3+fPXvGIgWTg==</t>
  </si>
  <si>
    <t>state_7bX4XFXmYqoMspxup0CrKA==</t>
  </si>
  <si>
    <t>state_1vMmtGURgMcjxQbV2KQiUw==</t>
  </si>
  <si>
    <t>state_/+QaZYcpPt5mXLpkv6I8Bw==</t>
  </si>
  <si>
    <t>state_x6Gw/1I8t3KPgT6s82Kodg==</t>
  </si>
  <si>
    <t>state_fR2lwAMjCb/fNXjsApiOTw==</t>
  </si>
  <si>
    <t>state_ZUmHOp1/xBWh5O/uqDutsw==</t>
  </si>
  <si>
    <t>state_Ygq6MsM98oC8yceExr69Ig==</t>
  </si>
  <si>
    <t>state_Jc0dzuliQSKFl0Xy0bjYCQ==</t>
  </si>
  <si>
    <t>state_E8shyM/6btBNXXExsO17zw==</t>
  </si>
  <si>
    <t>state_KET/Pmr6rHp1RJ/P9ymztw==</t>
  </si>
  <si>
    <t>state_P1TKs1aii8osbgO+MszZ2w==</t>
  </si>
  <si>
    <t>state_QMl/wADluYmoYZIXDOUktQ==</t>
  </si>
  <si>
    <t>state_TYC58USu+Tq7c/WS4YLnuQ==</t>
  </si>
  <si>
    <t>state_JrdZzPZEa/YIIGwh8OdTKA==</t>
  </si>
  <si>
    <t>state_umkEte5GXWggFkMOtKQ3Ug==</t>
  </si>
  <si>
    <t>state_orU7WJYGPT/xFwOXY1eBkw==</t>
  </si>
  <si>
    <t>state_rrVbgRNTRyB6auEycsRrpA==</t>
  </si>
  <si>
    <t>state_kfFcVGcsJmH2n3eYprLkeQ==</t>
  </si>
  <si>
    <t>state_bwNrC22VlFOFk6/nEHQc6A==</t>
  </si>
  <si>
    <t>state_cd+7k16vaf6SzwSyvT/fHw==</t>
  </si>
  <si>
    <t>state_yni6lL4oSly97UVZeRSyxA==</t>
  </si>
  <si>
    <t>shipping_state_BR-DF</t>
  </si>
  <si>
    <t>shipping_state_BR-AL</t>
  </si>
  <si>
    <t>real_state_+qWF9pJpVGtTFn4vFjb/cg==</t>
  </si>
  <si>
    <t>shipping_state_BR-AC</t>
  </si>
  <si>
    <t>shipping_state_BR-MT</t>
  </si>
  <si>
    <t>shipping_state_BR-SC</t>
  </si>
  <si>
    <t>shipping_state_BR-SE</t>
  </si>
  <si>
    <t>shipping_state_BR-TO</t>
  </si>
  <si>
    <t>(0.0224, 0.0536]</t>
  </si>
  <si>
    <t>(0.0536, 0.0729]</t>
  </si>
  <si>
    <t>(0.0729, 0.0896]</t>
  </si>
  <si>
    <t>(0.0896, 0.109]</t>
  </si>
  <si>
    <t>(0.109, 0.13]</t>
  </si>
  <si>
    <t>(0.13, 0.156]</t>
  </si>
  <si>
    <t>(0.156, 0.187]</t>
  </si>
  <si>
    <t>(0.187, 0.231]</t>
  </si>
  <si>
    <t>(0.231, 0.301]</t>
  </si>
  <si>
    <t>(0.301, 0.814]</t>
  </si>
  <si>
    <t>Tier Defnition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</si>
</sst>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Poppins"/>
    </font>
    <font>
      <b/>
      <sz val="9"/>
      <color theme="0"/>
      <name val="Poppins"/>
    </font>
    <font>
      <sz val="9"/>
      <color theme="0"/>
      <name val="Poppins"/>
    </font>
    <font>
      <b/>
      <sz val="11"/>
      <color theme="0"/>
      <name val="Poppins"/>
    </font>
    <font>
      <sz val="11"/>
      <color theme="1"/>
      <name val="Poppins"/>
    </font>
    <font>
      <b/>
      <sz val="9"/>
      <color theme="1"/>
      <name val="Poppins"/>
    </font>
    <font>
      <b/>
      <sz val="12"/>
      <color theme="0"/>
      <name val="Poppins"/>
    </font>
    <font>
      <b/>
      <sz val="11"/>
      <color theme="1"/>
      <name val="Poppins"/>
    </font>
    <font>
      <b/>
      <sz val="12"/>
      <color theme="1"/>
      <name val="Poppins"/>
    </font>
    <font>
      <b/>
      <sz val="9"/>
      <color rgb="FF000000"/>
      <name val="Poppins"/>
    </font>
    <font>
      <sz val="9"/>
      <color rgb="FF000000"/>
      <name val="Poppins"/>
    </font>
    <font>
      <b/>
      <sz val="9"/>
      <color rgb="FFFFFFFF"/>
      <name val="Poppins"/>
    </font>
    <font>
      <b/>
      <sz val="8"/>
      <color theme="0"/>
      <name val="Poppins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4070C4"/>
        <bgColor indexed="64"/>
      </patternFill>
    </fill>
    <fill>
      <patternFill patternType="solid">
        <fgColor rgb="FFB0C3E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4">
    <xf numFmtId="0" fontId="0" fillId="0" borderId="0"/>
    <xf numFmtId="43" fontId="1" fillId="0" borderId="0"/>
    <xf numFmtId="9" fontId="1" fillId="0" borderId="0"/>
    <xf numFmtId="0" fontId="1" fillId="0" borderId="0"/>
  </cellStyleXfs>
  <cellXfs count="6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9" fontId="2" fillId="0" borderId="1" xfId="2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9" fontId="7" fillId="0" borderId="1" xfId="2" applyFont="1" applyBorder="1" applyAlignment="1">
      <alignment horizontal="center" vertical="center" wrapText="1"/>
    </xf>
    <xf numFmtId="0" fontId="8" fillId="4" borderId="1" xfId="2" applyNumberFormat="1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2" fontId="2" fillId="0" borderId="1" xfId="1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8" fillId="4" borderId="1" xfId="1" applyNumberFormat="1" applyFont="1" applyFill="1" applyBorder="1" applyAlignment="1">
      <alignment horizontal="center" vertical="center" wrapText="1"/>
    </xf>
    <xf numFmtId="2" fontId="8" fillId="3" borderId="1" xfId="1" applyNumberFormat="1" applyFont="1" applyFill="1" applyBorder="1" applyAlignment="1">
      <alignment horizontal="center" vertical="center" wrapText="1"/>
    </xf>
    <xf numFmtId="0" fontId="8" fillId="3" borderId="1" xfId="2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8" borderId="1" xfId="2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9" fontId="11" fillId="0" borderId="0" xfId="0" applyNumberFormat="1" applyFont="1" applyAlignment="1">
      <alignment horizontal="center" vertical="center" wrapText="1"/>
    </xf>
    <xf numFmtId="0" fontId="6" fillId="0" borderId="0" xfId="0" applyFont="1"/>
    <xf numFmtId="0" fontId="6" fillId="0" borderId="7" xfId="0" applyFont="1" applyBorder="1"/>
    <xf numFmtId="0" fontId="6" fillId="0" borderId="9" xfId="0" applyFont="1" applyBorder="1"/>
    <xf numFmtId="0" fontId="6" fillId="0" borderId="5" xfId="0" applyFont="1" applyBorder="1"/>
    <xf numFmtId="0" fontId="6" fillId="0" borderId="12" xfId="0" applyFont="1" applyBorder="1"/>
    <xf numFmtId="0" fontId="5" fillId="0" borderId="10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2" fontId="5" fillId="0" borderId="11" xfId="0" applyNumberFormat="1" applyFont="1" applyBorder="1" applyAlignment="1">
      <alignment horizontal="center" vertical="top"/>
    </xf>
    <xf numFmtId="2" fontId="6" fillId="0" borderId="8" xfId="0" applyNumberFormat="1" applyFont="1" applyBorder="1"/>
    <xf numFmtId="2" fontId="6" fillId="0" borderId="2" xfId="0" applyNumberFormat="1" applyFont="1" applyBorder="1"/>
    <xf numFmtId="2" fontId="6" fillId="0" borderId="0" xfId="0" applyNumberFormat="1" applyFont="1"/>
    <xf numFmtId="164" fontId="5" fillId="0" borderId="11" xfId="0" applyNumberFormat="1" applyFont="1" applyBorder="1" applyAlignment="1">
      <alignment horizontal="center" vertical="top"/>
    </xf>
    <xf numFmtId="164" fontId="6" fillId="0" borderId="8" xfId="0" applyNumberFormat="1" applyFont="1" applyBorder="1"/>
    <xf numFmtId="164" fontId="6" fillId="0" borderId="2" xfId="0" applyNumberFormat="1" applyFont="1" applyBorder="1"/>
    <xf numFmtId="164" fontId="6" fillId="0" borderId="0" xfId="0" applyNumberFormat="1" applyFont="1"/>
    <xf numFmtId="0" fontId="5" fillId="6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5" fillId="4" borderId="1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0" fillId="0" borderId="3" xfId="0" applyBorder="1"/>
    <xf numFmtId="0" fontId="5" fillId="8" borderId="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Percent" xfId="2" builtinId="5"/>
    <cellStyle name="Percent 2" xfId="3" xr:uid="{00000000-0005-0000-0000-000003000000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numFmt numFmtId="164" formatCode="0.0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Poppins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Tier wise Score Distribution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 Obs (Val Sample)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'10 Tier Results'!$L$22:$L$31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'10 Tier Results'!$D$4:$D$13</c:f>
              <c:numCache>
                <c:formatCode>0%</c:formatCode>
                <c:ptCount val="10"/>
                <c:pt idx="0">
                  <c:v>9.4084410581285846E-2</c:v>
                </c:pt>
                <c:pt idx="1">
                  <c:v>0.10367263076791371</c:v>
                </c:pt>
                <c:pt idx="2">
                  <c:v>9.7894015923294234E-2</c:v>
                </c:pt>
                <c:pt idx="3">
                  <c:v>0.10367263076791371</c:v>
                </c:pt>
                <c:pt idx="4">
                  <c:v>0.10007704819792826</c:v>
                </c:pt>
                <c:pt idx="5">
                  <c:v>0.1029021487886311</c:v>
                </c:pt>
                <c:pt idx="6">
                  <c:v>9.8407670576149298E-2</c:v>
                </c:pt>
                <c:pt idx="7">
                  <c:v>9.8536084239363067E-2</c:v>
                </c:pt>
                <c:pt idx="8">
                  <c:v>9.9263761664241071E-2</c:v>
                </c:pt>
                <c:pt idx="9">
                  <c:v>0.10148959849327968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79-4D5C-9113-18889B7E2BBC}"/>
            </c:ext>
          </c:extLst>
        </c:ser>
        <c:ser>
          <c:idx val="1"/>
          <c:order val="1"/>
          <c:tx>
            <c:v>% Obs (Monitoring Sample)</c:v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'10 Tier Results'!$L$22:$L$31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'10 Tier Results'!$O$4:$O$13</c:f>
              <c:numCache>
                <c:formatCode>0%</c:formatCode>
                <c:ptCount val="10"/>
                <c:pt idx="0">
                  <c:v>0.10001996406468357</c:v>
                </c:pt>
                <c:pt idx="1">
                  <c:v>0.10001996406468357</c:v>
                </c:pt>
                <c:pt idx="2">
                  <c:v>0.10001996406468357</c:v>
                </c:pt>
                <c:pt idx="3">
                  <c:v>9.9920143741265718E-2</c:v>
                </c:pt>
                <c:pt idx="4">
                  <c:v>0.10001996406468357</c:v>
                </c:pt>
                <c:pt idx="5">
                  <c:v>0.10001996406468357</c:v>
                </c:pt>
                <c:pt idx="6">
                  <c:v>9.9920143741265718E-2</c:v>
                </c:pt>
                <c:pt idx="7">
                  <c:v>0.10001996406468357</c:v>
                </c:pt>
                <c:pt idx="8">
                  <c:v>0.10001996406468357</c:v>
                </c:pt>
                <c:pt idx="9">
                  <c:v>0.10001996406468357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79-4D5C-9113-18889B7E2BBC}"/>
            </c:ext>
          </c:extLst>
        </c:ser>
        <c:ser>
          <c:idx val="2"/>
          <c:order val="2"/>
          <c:tx>
            <c:v>% Obs (OOT Sample)</c:v>
          </c:tx>
          <c:spPr>
            <a:ln>
              <a:prstDash val="solid"/>
            </a:ln>
          </c:spPr>
          <c:invertIfNegative val="0"/>
          <c:cat>
            <c:numRef>
              <c:f>'10 Tier Results'!$L$22:$L$31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'10 Tier Results'!$Z$4:$Z$13</c:f>
              <c:numCache>
                <c:formatCode>0%</c:formatCode>
                <c:ptCount val="10"/>
                <c:pt idx="0">
                  <c:v>0.10159338684557326</c:v>
                </c:pt>
                <c:pt idx="1">
                  <c:v>9.8957709356655085E-2</c:v>
                </c:pt>
                <c:pt idx="2">
                  <c:v>9.1889301545465443E-2</c:v>
                </c:pt>
                <c:pt idx="3">
                  <c:v>0.10974002635677489</c:v>
                </c:pt>
                <c:pt idx="4">
                  <c:v>9.2727926201030306E-2</c:v>
                </c:pt>
                <c:pt idx="5">
                  <c:v>0.10830238409009225</c:v>
                </c:pt>
                <c:pt idx="6">
                  <c:v>0.10051515514556128</c:v>
                </c:pt>
                <c:pt idx="7">
                  <c:v>0.1014735833233497</c:v>
                </c:pt>
                <c:pt idx="8">
                  <c:v>9.7280460045525333E-2</c:v>
                </c:pt>
                <c:pt idx="9">
                  <c:v>9.7520067089972448E-2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79-4D5C-9113-18889B7E2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68052303"/>
        <c:axId val="1279202895"/>
      </c:barChart>
      <c:catAx>
        <c:axId val="66805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202895"/>
        <c:crosses val="autoZero"/>
        <c:auto val="1"/>
        <c:lblAlgn val="ctr"/>
        <c:lblOffset val="100"/>
        <c:noMultiLvlLbl val="0"/>
      </c:catAx>
      <c:valAx>
        <c:axId val="127920289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05230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558802</xdr:colOff>
      <xdr:row>19</xdr:row>
      <xdr:rowOff>127002</xdr:rowOff>
    </xdr:from>
    <xdr:to>
      <xdr:col>8</xdr:col>
      <xdr:colOff>330201</xdr:colOff>
      <xdr:row>31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2FFC5C-C95D-487E-B956-5A17B05AD965}" name="Table1" displayName="Table1" ref="A1:D144" totalsRowShown="0" headerRowDxfId="7" headerRowBorderDxfId="6" tableBorderDxfId="5" totalsRowBorderDxfId="4">
  <autoFilter ref="A1:D144" xr:uid="{8A2FFC5C-C95D-487E-B956-5A17B05AD965}"/>
  <tableColumns count="4">
    <tableColumn id="1" xr3:uid="{33DAB4DF-C2E5-4E23-9315-6CE8EDEF6F86}" name="feature" dataDxfId="3"/>
    <tableColumn id="2" xr3:uid="{7F2B708D-BC6F-4792-8D44-0831F27A8BC8}" name="importance" dataDxfId="2"/>
    <tableColumn id="3" xr3:uid="{9299C6FA-E55D-4241-A61C-296C57B332F7}" name="IV" dataDxfId="1"/>
    <tableColumn id="4" xr3:uid="{214B5F0A-2871-4612-AC2C-9462AFB8023F}" name="feature_selecte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L69"/>
  <sheetViews>
    <sheetView showGridLines="0" tabSelected="1" topLeftCell="A14" zoomScale="82" zoomScaleNormal="90" workbookViewId="0">
      <selection activeCell="AA38" sqref="AA38"/>
    </sheetView>
  </sheetViews>
  <sheetFormatPr defaultColWidth="8.88671875" defaultRowHeight="17.399999999999999" x14ac:dyDescent="0.3"/>
  <cols>
    <col min="1" max="1" width="9.21875" style="5" customWidth="1"/>
    <col min="2" max="2" width="8.44140625" style="5" customWidth="1"/>
    <col min="3" max="3" width="8.6640625" style="5" customWidth="1"/>
    <col min="4" max="4" width="8.77734375" style="5" customWidth="1"/>
    <col min="5" max="5" width="8.21875" style="5" customWidth="1"/>
    <col min="6" max="7" width="9.88671875" style="5" customWidth="1"/>
    <col min="8" max="8" width="7.21875" style="5" bestFit="1" customWidth="1"/>
    <col min="9" max="9" width="11.6640625" style="5" customWidth="1"/>
    <col min="10" max="10" width="7.44140625" style="5" customWidth="1"/>
    <col min="11" max="11" width="8.21875" style="5" customWidth="1"/>
    <col min="12" max="12" width="8.77734375" style="5" customWidth="1"/>
    <col min="13" max="13" width="8.21875" style="5" bestFit="1" customWidth="1"/>
    <col min="14" max="14" width="8.5546875" style="5" bestFit="1" customWidth="1"/>
    <col min="15" max="15" width="9" style="5" bestFit="1" customWidth="1"/>
    <col min="16" max="16" width="8.88671875" style="5" customWidth="1"/>
    <col min="17" max="17" width="8.5546875" style="5" customWidth="1"/>
    <col min="18" max="18" width="10.33203125" style="5" customWidth="1"/>
    <col min="19" max="19" width="10.21875" style="5" customWidth="1"/>
    <col min="20" max="20" width="11.6640625" style="5" customWidth="1"/>
    <col min="21" max="21" width="8.109375" style="5" customWidth="1"/>
    <col min="22" max="28" width="8.88671875" style="5" customWidth="1"/>
    <col min="29" max="29" width="10.6640625" style="5" customWidth="1"/>
    <col min="30" max="30" width="8.88671875" style="5" customWidth="1"/>
    <col min="31" max="31" width="11.109375" style="5" customWidth="1"/>
    <col min="32" max="37" width="8.88671875" style="5"/>
    <col min="38" max="38" width="14.44140625" style="5" bestFit="1" customWidth="1"/>
    <col min="39" max="16384" width="8.88671875" style="5"/>
  </cols>
  <sheetData>
    <row r="2" spans="2:38" x14ac:dyDescent="0.3">
      <c r="B2" s="55" t="s">
        <v>0</v>
      </c>
      <c r="C2" s="53"/>
      <c r="D2" s="53"/>
      <c r="E2" s="53"/>
      <c r="F2" s="53"/>
      <c r="G2" s="53"/>
      <c r="H2" s="53"/>
      <c r="I2" s="53"/>
      <c r="J2" s="53"/>
      <c r="K2" s="54"/>
      <c r="M2" s="52" t="s">
        <v>1</v>
      </c>
      <c r="N2" s="53"/>
      <c r="O2" s="53"/>
      <c r="P2" s="53"/>
      <c r="Q2" s="53"/>
      <c r="R2" s="53"/>
      <c r="S2" s="53"/>
      <c r="T2" s="53"/>
      <c r="U2" s="53"/>
      <c r="V2" s="54"/>
      <c r="X2" s="58" t="s">
        <v>2</v>
      </c>
      <c r="Y2" s="53"/>
      <c r="Z2" s="53"/>
      <c r="AA2" s="53"/>
      <c r="AB2" s="53"/>
      <c r="AC2" s="53"/>
      <c r="AD2" s="53"/>
      <c r="AE2" s="53"/>
      <c r="AF2" s="53"/>
      <c r="AG2" s="54"/>
    </row>
    <row r="3" spans="2:38" ht="34.799999999999997" x14ac:dyDescent="0.3"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M3" s="19" t="s">
        <v>3</v>
      </c>
      <c r="N3" s="19" t="s">
        <v>4</v>
      </c>
      <c r="O3" s="19" t="s">
        <v>5</v>
      </c>
      <c r="P3" s="19" t="s">
        <v>6</v>
      </c>
      <c r="Q3" s="19" t="s">
        <v>7</v>
      </c>
      <c r="R3" s="19" t="s">
        <v>8</v>
      </c>
      <c r="S3" s="19" t="s">
        <v>9</v>
      </c>
      <c r="T3" s="19" t="s">
        <v>10</v>
      </c>
      <c r="U3" s="19" t="s">
        <v>11</v>
      </c>
      <c r="V3" s="19" t="s">
        <v>12</v>
      </c>
      <c r="X3" s="26" t="s">
        <v>3</v>
      </c>
      <c r="Y3" s="26" t="s">
        <v>4</v>
      </c>
      <c r="Z3" s="26" t="s">
        <v>5</v>
      </c>
      <c r="AA3" s="26" t="s">
        <v>6</v>
      </c>
      <c r="AB3" s="26" t="s">
        <v>7</v>
      </c>
      <c r="AC3" s="26" t="s">
        <v>8</v>
      </c>
      <c r="AD3" s="26" t="s">
        <v>9</v>
      </c>
      <c r="AE3" s="26" t="s">
        <v>10</v>
      </c>
      <c r="AF3" s="26" t="s">
        <v>11</v>
      </c>
      <c r="AG3" s="26" t="s">
        <v>12</v>
      </c>
      <c r="AL3" s="5" t="s">
        <v>186</v>
      </c>
    </row>
    <row r="4" spans="2:38" x14ac:dyDescent="0.3">
      <c r="B4" s="1">
        <v>1</v>
      </c>
      <c r="C4" s="9">
        <v>2198</v>
      </c>
      <c r="D4" s="10">
        <f t="shared" ref="D4:D13" si="0">C4/$C$14</f>
        <v>9.4084410581285846E-2</v>
      </c>
      <c r="E4" s="9">
        <v>56</v>
      </c>
      <c r="F4" s="1">
        <f t="shared" ref="F4:F13" si="1">C4-E4</f>
        <v>2142</v>
      </c>
      <c r="G4" s="10">
        <f t="shared" ref="G4:G14" si="2">E4/C4</f>
        <v>2.5477707006369428E-2</v>
      </c>
      <c r="H4" s="10">
        <f>E4/$E$14</f>
        <v>1.5025489669975852E-2</v>
      </c>
      <c r="I4" s="10">
        <f>F4/$F$14</f>
        <v>0.10909090909090909</v>
      </c>
      <c r="J4" s="11">
        <f t="shared" ref="J4:J13" si="3">ABS(I4-H4)</f>
        <v>9.406541942093323E-2</v>
      </c>
      <c r="K4" s="8">
        <f>H4*I4*0.5</f>
        <v>8.1957216381686466E-4</v>
      </c>
      <c r="M4" s="1">
        <v>1</v>
      </c>
      <c r="N4" s="9">
        <v>1002</v>
      </c>
      <c r="O4" s="10">
        <f t="shared" ref="O4:O13" si="4">N4/$N$14</f>
        <v>0.10001996406468357</v>
      </c>
      <c r="P4" s="9">
        <v>42</v>
      </c>
      <c r="Q4" s="1">
        <f t="shared" ref="Q4:Q13" si="5">N4-P4</f>
        <v>960</v>
      </c>
      <c r="R4" s="10">
        <f t="shared" ref="R4:R14" si="6">P4/N4</f>
        <v>4.1916167664670656E-2</v>
      </c>
      <c r="S4" s="10">
        <f>P4/$P$14</f>
        <v>2.6266416510318951E-2</v>
      </c>
      <c r="T4" s="10">
        <f>Q4/$Q$14</f>
        <v>0.1140277942748545</v>
      </c>
      <c r="U4" s="11">
        <f t="shared" ref="U4:U13" si="7">ABS(T4-S4)</f>
        <v>8.7761377764535548E-2</v>
      </c>
      <c r="V4" s="8">
        <f>S4*T4*0.5</f>
        <v>1.4975507690881454E-3</v>
      </c>
      <c r="X4" s="1">
        <v>1</v>
      </c>
      <c r="Y4" s="9">
        <v>848</v>
      </c>
      <c r="Z4" s="10">
        <f t="shared" ref="Z4:Z13" si="8">Y4/$Y$14</f>
        <v>0.10159338684557326</v>
      </c>
      <c r="AA4" s="9">
        <v>36</v>
      </c>
      <c r="AB4" s="1">
        <f t="shared" ref="AB4:AB13" si="9">Y4-AA4</f>
        <v>812</v>
      </c>
      <c r="AC4" s="10">
        <f t="shared" ref="AC4:AC14" si="10">AA4/Y4</f>
        <v>4.2452830188679243E-2</v>
      </c>
      <c r="AD4" s="10">
        <f>AA4/$AA$14</f>
        <v>2.7027027027027029E-2</v>
      </c>
      <c r="AE4" s="10">
        <f>AB4/$AB$14</f>
        <v>0.115751960085531</v>
      </c>
      <c r="AF4" s="11">
        <f t="shared" ref="AF4:AF13" si="11">ABS(AE4-AD4)</f>
        <v>8.8724933058503971E-2</v>
      </c>
      <c r="AG4" s="8">
        <f>AD4*AE4*0.5</f>
        <v>1.5642156768315E-3</v>
      </c>
      <c r="AL4" s="60" t="s">
        <v>176</v>
      </c>
    </row>
    <row r="5" spans="2:38" x14ac:dyDescent="0.3">
      <c r="B5" s="1">
        <v>2</v>
      </c>
      <c r="C5" s="9">
        <v>2422</v>
      </c>
      <c r="D5" s="10">
        <f t="shared" si="0"/>
        <v>0.10367263076791371</v>
      </c>
      <c r="E5" s="9">
        <v>103</v>
      </c>
      <c r="F5" s="1">
        <f t="shared" si="1"/>
        <v>2319</v>
      </c>
      <c r="G5" s="10">
        <f t="shared" si="2"/>
        <v>4.2526837324525182E-2</v>
      </c>
      <c r="H5" s="10">
        <f t="shared" ref="H5:H13" si="12">E5/$E$14+H4</f>
        <v>4.2661658170110008E-2</v>
      </c>
      <c r="I5" s="10">
        <f t="shared" ref="I5:I13" si="13">F5/$F$14+I4</f>
        <v>0.22719633307868603</v>
      </c>
      <c r="J5" s="11">
        <f t="shared" si="3"/>
        <v>0.18453467490857603</v>
      </c>
      <c r="K5" s="8">
        <f t="shared" ref="K5:K13" si="14">(H5-H4)*(I5+I4)*0.5</f>
        <v>4.6468454445221753E-3</v>
      </c>
      <c r="M5" s="1">
        <v>2</v>
      </c>
      <c r="N5" s="9">
        <v>1002</v>
      </c>
      <c r="O5" s="10">
        <f t="shared" si="4"/>
        <v>0.10001996406468357</v>
      </c>
      <c r="P5" s="9">
        <v>65</v>
      </c>
      <c r="Q5" s="1">
        <f t="shared" si="5"/>
        <v>937</v>
      </c>
      <c r="R5" s="10">
        <f t="shared" si="6"/>
        <v>6.4870259481037917E-2</v>
      </c>
      <c r="S5" s="10">
        <f t="shared" ref="S5:S13" si="15">P5/$P$14+S4</f>
        <v>6.6916823014383994E-2</v>
      </c>
      <c r="T5" s="10">
        <f t="shared" ref="T5:T13" si="16">Q5/$Q$14+T4</f>
        <v>0.22532367264520728</v>
      </c>
      <c r="U5" s="11">
        <f t="shared" si="7"/>
        <v>0.1584068496308233</v>
      </c>
      <c r="V5" s="8">
        <f t="shared" ref="V5:V13" si="17">(S5-S4)*(T5+T4)*0.5</f>
        <v>6.8973875390256458E-3</v>
      </c>
      <c r="X5" s="1">
        <v>2</v>
      </c>
      <c r="Y5" s="9">
        <v>826</v>
      </c>
      <c r="Z5" s="10">
        <f t="shared" si="8"/>
        <v>9.8957709356655085E-2</v>
      </c>
      <c r="AA5" s="9">
        <v>64</v>
      </c>
      <c r="AB5" s="1">
        <f t="shared" si="9"/>
        <v>762</v>
      </c>
      <c r="AC5" s="10">
        <f t="shared" si="10"/>
        <v>7.7481840193704604E-2</v>
      </c>
      <c r="AD5" s="10">
        <f t="shared" ref="AD5:AD13" si="18">AA5/$AA$14+AD4</f>
        <v>7.5075075075075076E-2</v>
      </c>
      <c r="AE5" s="10">
        <f t="shared" ref="AE5:AE13" si="19">AB5/$AB$14+AE4</f>
        <v>0.22437633642195295</v>
      </c>
      <c r="AF5" s="11">
        <f t="shared" si="11"/>
        <v>0.14930126134687788</v>
      </c>
      <c r="AG5" s="8">
        <f t="shared" ref="AG5:AG13" si="20">(AD5-AD4)*(AE5+AE4)*0.5</f>
        <v>8.1712503665461612E-3</v>
      </c>
      <c r="AL5" s="60" t="s">
        <v>177</v>
      </c>
    </row>
    <row r="6" spans="2:38" x14ac:dyDescent="0.3">
      <c r="B6" s="1">
        <v>3</v>
      </c>
      <c r="C6" s="9">
        <v>2287</v>
      </c>
      <c r="D6" s="10">
        <f t="shared" si="0"/>
        <v>9.7894015923294234E-2</v>
      </c>
      <c r="E6" s="9">
        <v>140</v>
      </c>
      <c r="F6" s="1">
        <f t="shared" si="1"/>
        <v>2147</v>
      </c>
      <c r="G6" s="10">
        <f t="shared" si="2"/>
        <v>6.121556624398776E-2</v>
      </c>
      <c r="H6" s="10">
        <f t="shared" si="12"/>
        <v>8.0225382345049639E-2</v>
      </c>
      <c r="I6" s="10">
        <f t="shared" si="13"/>
        <v>0.33654188948306596</v>
      </c>
      <c r="J6" s="11">
        <f t="shared" si="3"/>
        <v>0.25631650713801635</v>
      </c>
      <c r="K6" s="8">
        <f t="shared" si="14"/>
        <v>1.0588053549590191E-2</v>
      </c>
      <c r="M6" s="1">
        <v>3</v>
      </c>
      <c r="N6" s="9">
        <v>1002</v>
      </c>
      <c r="O6" s="10">
        <f t="shared" si="4"/>
        <v>0.10001996406468357</v>
      </c>
      <c r="P6" s="9">
        <v>77</v>
      </c>
      <c r="Q6" s="1">
        <f t="shared" si="5"/>
        <v>925</v>
      </c>
      <c r="R6" s="10">
        <f t="shared" si="6"/>
        <v>7.6846307385229545E-2</v>
      </c>
      <c r="S6" s="10">
        <f t="shared" si="15"/>
        <v>0.11507191994996874</v>
      </c>
      <c r="T6" s="10">
        <f t="shared" si="16"/>
        <v>0.33519420358712437</v>
      </c>
      <c r="U6" s="11">
        <f t="shared" si="7"/>
        <v>0.22012228363715564</v>
      </c>
      <c r="V6" s="8">
        <f t="shared" si="17"/>
        <v>1.3495896332048011E-2</v>
      </c>
      <c r="X6" s="1">
        <v>3</v>
      </c>
      <c r="Y6" s="9">
        <v>767</v>
      </c>
      <c r="Z6" s="10">
        <f t="shared" si="8"/>
        <v>9.1889301545465443E-2</v>
      </c>
      <c r="AA6" s="9">
        <v>47</v>
      </c>
      <c r="AB6" s="1">
        <f t="shared" si="9"/>
        <v>720</v>
      </c>
      <c r="AC6" s="10">
        <f t="shared" si="10"/>
        <v>6.1277705345501955E-2</v>
      </c>
      <c r="AD6" s="10">
        <f t="shared" si="18"/>
        <v>0.11036036036036037</v>
      </c>
      <c r="AE6" s="10">
        <f t="shared" si="19"/>
        <v>0.32701354240912328</v>
      </c>
      <c r="AF6" s="11">
        <f t="shared" si="11"/>
        <v>0.21665318204876291</v>
      </c>
      <c r="AG6" s="8">
        <f t="shared" si="20"/>
        <v>9.7279745889867087E-3</v>
      </c>
      <c r="AL6" s="60" t="s">
        <v>178</v>
      </c>
    </row>
    <row r="7" spans="2:38" x14ac:dyDescent="0.3">
      <c r="B7" s="1">
        <v>4</v>
      </c>
      <c r="C7" s="9">
        <v>2422</v>
      </c>
      <c r="D7" s="10">
        <f t="shared" si="0"/>
        <v>0.10367263076791371</v>
      </c>
      <c r="E7" s="9">
        <v>193</v>
      </c>
      <c r="F7" s="1">
        <f t="shared" si="1"/>
        <v>2229</v>
      </c>
      <c r="G7" s="10">
        <f t="shared" si="2"/>
        <v>7.9686209744013206E-2</v>
      </c>
      <c r="H7" s="10">
        <f t="shared" si="12"/>
        <v>0.13200965924335928</v>
      </c>
      <c r="I7" s="10">
        <f t="shared" si="13"/>
        <v>0.45006366182836771</v>
      </c>
      <c r="J7" s="11">
        <f t="shared" si="3"/>
        <v>0.31805400258500843</v>
      </c>
      <c r="K7" s="8">
        <f t="shared" si="14"/>
        <v>2.0366899839429395E-2</v>
      </c>
      <c r="M7" s="1">
        <v>4</v>
      </c>
      <c r="N7" s="9">
        <v>1001</v>
      </c>
      <c r="O7" s="10">
        <f t="shared" si="4"/>
        <v>9.9920143741265718E-2</v>
      </c>
      <c r="P7" s="9">
        <v>87</v>
      </c>
      <c r="Q7" s="1">
        <f t="shared" si="5"/>
        <v>914</v>
      </c>
      <c r="R7" s="10">
        <f t="shared" si="6"/>
        <v>8.6913086913086912E-2</v>
      </c>
      <c r="S7" s="10">
        <f t="shared" si="15"/>
        <v>0.16948092557848657</v>
      </c>
      <c r="T7" s="10">
        <f t="shared" si="16"/>
        <v>0.44375816605297541</v>
      </c>
      <c r="U7" s="11">
        <f t="shared" si="7"/>
        <v>0.27427724047448887</v>
      </c>
      <c r="V7" s="8">
        <f t="shared" si="17"/>
        <v>2.1191011932047744E-2</v>
      </c>
      <c r="X7" s="1">
        <v>4</v>
      </c>
      <c r="Y7" s="9">
        <v>916</v>
      </c>
      <c r="Z7" s="10">
        <f t="shared" si="8"/>
        <v>0.10974002635677489</v>
      </c>
      <c r="AA7" s="9">
        <v>100</v>
      </c>
      <c r="AB7" s="1">
        <f t="shared" si="9"/>
        <v>816</v>
      </c>
      <c r="AC7" s="10">
        <f t="shared" si="10"/>
        <v>0.1091703056768559</v>
      </c>
      <c r="AD7" s="10">
        <f t="shared" si="18"/>
        <v>0.18543543543543545</v>
      </c>
      <c r="AE7" s="10">
        <f t="shared" si="19"/>
        <v>0.44333570919458298</v>
      </c>
      <c r="AF7" s="11">
        <f t="shared" si="11"/>
        <v>0.25790027375914754</v>
      </c>
      <c r="AG7" s="8">
        <f t="shared" si="20"/>
        <v>2.8917013949088074E-2</v>
      </c>
      <c r="AL7" s="60" t="s">
        <v>179</v>
      </c>
    </row>
    <row r="8" spans="2:38" x14ac:dyDescent="0.3">
      <c r="B8" s="1">
        <v>5</v>
      </c>
      <c r="C8" s="9">
        <v>2338</v>
      </c>
      <c r="D8" s="10">
        <f t="shared" si="0"/>
        <v>0.10007704819792826</v>
      </c>
      <c r="E8" s="9">
        <v>260</v>
      </c>
      <c r="F8" s="1">
        <f t="shared" si="1"/>
        <v>2078</v>
      </c>
      <c r="G8" s="10">
        <f t="shared" si="2"/>
        <v>0.11120615911035073</v>
      </c>
      <c r="H8" s="10">
        <f t="shared" si="12"/>
        <v>0.20177086128253288</v>
      </c>
      <c r="I8" s="10">
        <f t="shared" si="13"/>
        <v>0.55589508530685006</v>
      </c>
      <c r="J8" s="11">
        <f t="shared" si="3"/>
        <v>0.3541242240243172</v>
      </c>
      <c r="K8" s="8">
        <f t="shared" si="14"/>
        <v>3.5088445700986938E-2</v>
      </c>
      <c r="M8" s="1">
        <v>5</v>
      </c>
      <c r="N8" s="9">
        <v>1002</v>
      </c>
      <c r="O8" s="10">
        <f t="shared" si="4"/>
        <v>0.10001996406468357</v>
      </c>
      <c r="P8" s="9">
        <v>109</v>
      </c>
      <c r="Q8" s="1">
        <f t="shared" si="5"/>
        <v>893</v>
      </c>
      <c r="R8" s="10">
        <f t="shared" si="6"/>
        <v>0.10878243512974052</v>
      </c>
      <c r="S8" s="10">
        <f t="shared" si="15"/>
        <v>0.23764853033145716</v>
      </c>
      <c r="T8" s="10">
        <f t="shared" si="16"/>
        <v>0.54982777051906406</v>
      </c>
      <c r="U8" s="11">
        <f t="shared" si="7"/>
        <v>0.3121792401876069</v>
      </c>
      <c r="V8" s="8">
        <f t="shared" si="17"/>
        <v>3.3865186706176449E-2</v>
      </c>
      <c r="X8" s="1">
        <v>5</v>
      </c>
      <c r="Y8" s="9">
        <v>774</v>
      </c>
      <c r="Z8" s="10">
        <f t="shared" si="8"/>
        <v>9.2727926201030306E-2</v>
      </c>
      <c r="AA8" s="9">
        <v>98</v>
      </c>
      <c r="AB8" s="1">
        <f t="shared" si="9"/>
        <v>676</v>
      </c>
      <c r="AC8" s="10">
        <f t="shared" si="10"/>
        <v>0.12661498708010335</v>
      </c>
      <c r="AD8" s="10">
        <f t="shared" si="18"/>
        <v>0.25900900900900903</v>
      </c>
      <c r="AE8" s="10">
        <f t="shared" si="19"/>
        <v>0.53970064148253738</v>
      </c>
      <c r="AF8" s="11">
        <f t="shared" si="11"/>
        <v>0.28069163247352835</v>
      </c>
      <c r="AG8" s="8">
        <f t="shared" si="20"/>
        <v>3.6162748636020196E-2</v>
      </c>
      <c r="AL8" s="60" t="s">
        <v>180</v>
      </c>
    </row>
    <row r="9" spans="2:38" x14ac:dyDescent="0.3">
      <c r="B9" s="1">
        <v>6</v>
      </c>
      <c r="C9" s="9">
        <v>2404</v>
      </c>
      <c r="D9" s="10">
        <f t="shared" si="0"/>
        <v>0.1029021487886311</v>
      </c>
      <c r="E9" s="9">
        <v>333</v>
      </c>
      <c r="F9" s="1">
        <f t="shared" si="1"/>
        <v>2071</v>
      </c>
      <c r="G9" s="10">
        <f t="shared" si="2"/>
        <v>0.13851913477537436</v>
      </c>
      <c r="H9" s="10">
        <f t="shared" si="12"/>
        <v>0.29111886235578216</v>
      </c>
      <c r="I9" s="10">
        <f t="shared" si="13"/>
        <v>0.66137000254647316</v>
      </c>
      <c r="J9" s="11">
        <f t="shared" si="3"/>
        <v>0.370251140190691</v>
      </c>
      <c r="K9" s="8">
        <f t="shared" si="14"/>
        <v>5.4380101187973796E-2</v>
      </c>
      <c r="M9" s="1">
        <v>6</v>
      </c>
      <c r="N9" s="9">
        <v>1002</v>
      </c>
      <c r="O9" s="10">
        <f t="shared" si="4"/>
        <v>0.10001996406468357</v>
      </c>
      <c r="P9" s="9">
        <v>136</v>
      </c>
      <c r="Q9" s="1">
        <f t="shared" si="5"/>
        <v>866</v>
      </c>
      <c r="R9" s="10">
        <f t="shared" si="6"/>
        <v>0.13572854291417166</v>
      </c>
      <c r="S9" s="10">
        <f t="shared" si="15"/>
        <v>0.32270168855534709</v>
      </c>
      <c r="T9" s="10">
        <f t="shared" si="16"/>
        <v>0.65269034327117237</v>
      </c>
      <c r="U9" s="11">
        <f t="shared" si="7"/>
        <v>0.32998865471582528</v>
      </c>
      <c r="V9" s="8">
        <f t="shared" si="17"/>
        <v>5.1138981699647319E-2</v>
      </c>
      <c r="X9" s="1">
        <v>6</v>
      </c>
      <c r="Y9" s="9">
        <v>904</v>
      </c>
      <c r="Z9" s="10">
        <f t="shared" si="8"/>
        <v>0.10830238409009225</v>
      </c>
      <c r="AA9" s="9">
        <v>118</v>
      </c>
      <c r="AB9" s="1">
        <f t="shared" si="9"/>
        <v>786</v>
      </c>
      <c r="AC9" s="10">
        <f t="shared" si="10"/>
        <v>0.13053097345132744</v>
      </c>
      <c r="AD9" s="10">
        <f t="shared" si="18"/>
        <v>0.34759759759759762</v>
      </c>
      <c r="AE9" s="10">
        <f t="shared" si="19"/>
        <v>0.6517462580185317</v>
      </c>
      <c r="AF9" s="11">
        <f t="shared" si="11"/>
        <v>0.30414866042093408</v>
      </c>
      <c r="AG9" s="8">
        <f t="shared" si="20"/>
        <v>5.2774299602524839E-2</v>
      </c>
      <c r="AL9" s="60" t="s">
        <v>181</v>
      </c>
    </row>
    <row r="10" spans="2:38" x14ac:dyDescent="0.3">
      <c r="B10" s="1">
        <v>7</v>
      </c>
      <c r="C10" s="9">
        <v>2299</v>
      </c>
      <c r="D10" s="10">
        <f t="shared" si="0"/>
        <v>9.8407670576149298E-2</v>
      </c>
      <c r="E10" s="9">
        <v>396</v>
      </c>
      <c r="F10" s="1">
        <f t="shared" si="1"/>
        <v>1903</v>
      </c>
      <c r="G10" s="10">
        <f t="shared" si="2"/>
        <v>0.17224880382775121</v>
      </c>
      <c r="H10" s="10">
        <f t="shared" si="12"/>
        <v>0.39737053930775423</v>
      </c>
      <c r="I10" s="10">
        <f t="shared" si="13"/>
        <v>0.75828877005347595</v>
      </c>
      <c r="J10" s="11">
        <f t="shared" si="3"/>
        <v>0.36091823074572171</v>
      </c>
      <c r="K10" s="8">
        <f t="shared" si="14"/>
        <v>7.5420562644161485E-2</v>
      </c>
      <c r="M10" s="1">
        <v>7</v>
      </c>
      <c r="N10" s="9">
        <v>1001</v>
      </c>
      <c r="O10" s="10">
        <f t="shared" si="4"/>
        <v>9.9920143741265718E-2</v>
      </c>
      <c r="P10" s="9">
        <v>194</v>
      </c>
      <c r="Q10" s="1">
        <f t="shared" si="5"/>
        <v>807</v>
      </c>
      <c r="R10" s="10">
        <f t="shared" si="6"/>
        <v>0.19380619380619379</v>
      </c>
      <c r="S10" s="10">
        <f t="shared" si="15"/>
        <v>0.4440275171982489</v>
      </c>
      <c r="T10" s="10">
        <f t="shared" si="16"/>
        <v>0.74854495783347197</v>
      </c>
      <c r="U10" s="11">
        <f t="shared" si="7"/>
        <v>0.30451744063522307</v>
      </c>
      <c r="V10" s="8">
        <f t="shared" si="17"/>
        <v>8.5003017015103502E-2</v>
      </c>
      <c r="X10" s="1">
        <v>7</v>
      </c>
      <c r="Y10" s="9">
        <v>839</v>
      </c>
      <c r="Z10" s="10">
        <f t="shared" si="8"/>
        <v>0.10051515514556128</v>
      </c>
      <c r="AA10" s="9">
        <v>125</v>
      </c>
      <c r="AB10" s="1">
        <f t="shared" si="9"/>
        <v>714</v>
      </c>
      <c r="AC10" s="10">
        <f t="shared" si="10"/>
        <v>0.14898688915375446</v>
      </c>
      <c r="AD10" s="10">
        <f t="shared" si="18"/>
        <v>0.44144144144144148</v>
      </c>
      <c r="AE10" s="10">
        <f t="shared" si="19"/>
        <v>0.75352815395580897</v>
      </c>
      <c r="AF10" s="11">
        <f t="shared" si="11"/>
        <v>0.31208671251436748</v>
      </c>
      <c r="AG10" s="8">
        <f t="shared" si="20"/>
        <v>6.5938176237534771E-2</v>
      </c>
      <c r="AL10" s="60" t="s">
        <v>182</v>
      </c>
    </row>
    <row r="11" spans="2:38" x14ac:dyDescent="0.3">
      <c r="B11" s="1">
        <v>8</v>
      </c>
      <c r="C11" s="9">
        <v>2302</v>
      </c>
      <c r="D11" s="10">
        <f t="shared" si="0"/>
        <v>9.8536084239363067E-2</v>
      </c>
      <c r="E11" s="9">
        <v>464</v>
      </c>
      <c r="F11" s="1">
        <f t="shared" si="1"/>
        <v>1838</v>
      </c>
      <c r="G11" s="10">
        <f t="shared" si="2"/>
        <v>0.20156385751520417</v>
      </c>
      <c r="H11" s="10">
        <f t="shared" si="12"/>
        <v>0.52186745371612564</v>
      </c>
      <c r="I11" s="10">
        <f t="shared" si="13"/>
        <v>0.85189712248535776</v>
      </c>
      <c r="J11" s="11">
        <f t="shared" si="3"/>
        <v>0.33002966876923212</v>
      </c>
      <c r="K11" s="8">
        <f t="shared" si="14"/>
        <v>0.10023158762248716</v>
      </c>
      <c r="M11" s="1">
        <v>8</v>
      </c>
      <c r="N11" s="9">
        <v>1002</v>
      </c>
      <c r="O11" s="10">
        <f t="shared" si="4"/>
        <v>0.10001996406468357</v>
      </c>
      <c r="P11" s="9">
        <v>207</v>
      </c>
      <c r="Q11" s="1">
        <f t="shared" si="5"/>
        <v>795</v>
      </c>
      <c r="R11" s="10">
        <f t="shared" si="6"/>
        <v>0.20658682634730538</v>
      </c>
      <c r="S11" s="10">
        <f t="shared" si="15"/>
        <v>0.57348342714196376</v>
      </c>
      <c r="T11" s="10">
        <f t="shared" si="16"/>
        <v>0.84297422496733587</v>
      </c>
      <c r="U11" s="11">
        <f t="shared" si="7"/>
        <v>0.26949079782537211</v>
      </c>
      <c r="V11" s="8">
        <f t="shared" si="17"/>
        <v>0.10301578200117802</v>
      </c>
      <c r="X11" s="1">
        <v>8</v>
      </c>
      <c r="Y11" s="9">
        <v>847</v>
      </c>
      <c r="Z11" s="10">
        <f t="shared" si="8"/>
        <v>0.1014735833233497</v>
      </c>
      <c r="AA11" s="9">
        <v>177</v>
      </c>
      <c r="AB11" s="1">
        <f t="shared" si="9"/>
        <v>670</v>
      </c>
      <c r="AC11" s="10">
        <f t="shared" si="10"/>
        <v>0.20897284533648169</v>
      </c>
      <c r="AD11" s="10">
        <f t="shared" si="18"/>
        <v>0.57432432432432434</v>
      </c>
      <c r="AE11" s="10">
        <f t="shared" si="19"/>
        <v>0.84903777619387022</v>
      </c>
      <c r="AF11" s="11">
        <f t="shared" si="11"/>
        <v>0.27471345186954588</v>
      </c>
      <c r="AG11" s="8">
        <f t="shared" si="20"/>
        <v>0.10647679040408903</v>
      </c>
      <c r="AL11" s="60" t="s">
        <v>183</v>
      </c>
    </row>
    <row r="12" spans="2:38" x14ac:dyDescent="0.3">
      <c r="B12" s="1">
        <v>9</v>
      </c>
      <c r="C12" s="9">
        <v>2319</v>
      </c>
      <c r="D12" s="10">
        <f t="shared" si="0"/>
        <v>9.9263761664241071E-2</v>
      </c>
      <c r="E12" s="9">
        <v>626</v>
      </c>
      <c r="F12" s="1">
        <f t="shared" si="1"/>
        <v>1693</v>
      </c>
      <c r="G12" s="10">
        <f t="shared" si="2"/>
        <v>0.26994394135403194</v>
      </c>
      <c r="H12" s="10">
        <f t="shared" si="12"/>
        <v>0.68983096324121285</v>
      </c>
      <c r="I12" s="10">
        <f t="shared" si="13"/>
        <v>0.93812070282658522</v>
      </c>
      <c r="J12" s="11">
        <f t="shared" si="3"/>
        <v>0.24828973958537237</v>
      </c>
      <c r="K12" s="8">
        <f t="shared" si="14"/>
        <v>0.15032883802592922</v>
      </c>
      <c r="M12" s="1">
        <v>9</v>
      </c>
      <c r="N12" s="9">
        <v>1002</v>
      </c>
      <c r="O12" s="10">
        <f t="shared" si="4"/>
        <v>0.10001996406468357</v>
      </c>
      <c r="P12" s="9">
        <v>275</v>
      </c>
      <c r="Q12" s="1">
        <f t="shared" si="5"/>
        <v>727</v>
      </c>
      <c r="R12" s="10">
        <f t="shared" si="6"/>
        <v>0.2744510978043912</v>
      </c>
      <c r="S12" s="10">
        <f t="shared" si="15"/>
        <v>0.74546591619762359</v>
      </c>
      <c r="T12" s="10">
        <f t="shared" si="16"/>
        <v>0.92932652334006427</v>
      </c>
      <c r="U12" s="11">
        <f t="shared" si="7"/>
        <v>0.18386060714244068</v>
      </c>
      <c r="V12" s="8">
        <f t="shared" si="17"/>
        <v>0.15240234702455757</v>
      </c>
      <c r="X12" s="1">
        <v>9</v>
      </c>
      <c r="Y12" s="9">
        <v>812</v>
      </c>
      <c r="Z12" s="10">
        <f t="shared" si="8"/>
        <v>9.7280460045525333E-2</v>
      </c>
      <c r="AA12" s="9">
        <v>226</v>
      </c>
      <c r="AB12" s="1">
        <f t="shared" si="9"/>
        <v>586</v>
      </c>
      <c r="AC12" s="10">
        <f t="shared" si="10"/>
        <v>0.27832512315270935</v>
      </c>
      <c r="AD12" s="10">
        <f t="shared" si="18"/>
        <v>0.74399399399399402</v>
      </c>
      <c r="AE12" s="10">
        <f t="shared" si="19"/>
        <v>0.93257305773342836</v>
      </c>
      <c r="AF12" s="11">
        <f t="shared" si="11"/>
        <v>0.18857906373943434</v>
      </c>
      <c r="AG12" s="8">
        <f t="shared" si="20"/>
        <v>0.15114266083617472</v>
      </c>
      <c r="AL12" s="60" t="s">
        <v>184</v>
      </c>
    </row>
    <row r="13" spans="2:38" x14ac:dyDescent="0.3">
      <c r="B13" s="1">
        <v>10</v>
      </c>
      <c r="C13" s="9">
        <v>2371</v>
      </c>
      <c r="D13" s="10">
        <f t="shared" si="0"/>
        <v>0.10148959849327968</v>
      </c>
      <c r="E13" s="9">
        <v>1156</v>
      </c>
      <c r="F13" s="1">
        <f t="shared" si="1"/>
        <v>1215</v>
      </c>
      <c r="G13" s="10">
        <f t="shared" si="2"/>
        <v>0.48755799240826653</v>
      </c>
      <c r="H13" s="10">
        <f t="shared" si="12"/>
        <v>1</v>
      </c>
      <c r="I13" s="10">
        <f t="shared" si="13"/>
        <v>1</v>
      </c>
      <c r="J13" s="11">
        <f t="shared" si="3"/>
        <v>0</v>
      </c>
      <c r="K13" s="8">
        <f t="shared" si="14"/>
        <v>0.30057251575899274</v>
      </c>
      <c r="M13" s="1">
        <v>10</v>
      </c>
      <c r="N13" s="9">
        <v>1002</v>
      </c>
      <c r="O13" s="10">
        <f t="shared" si="4"/>
        <v>0.10001996406468357</v>
      </c>
      <c r="P13" s="9">
        <v>407</v>
      </c>
      <c r="Q13" s="1">
        <f t="shared" si="5"/>
        <v>595</v>
      </c>
      <c r="R13" s="10">
        <f t="shared" si="6"/>
        <v>0.40618762475049902</v>
      </c>
      <c r="S13" s="10">
        <f t="shared" si="15"/>
        <v>1</v>
      </c>
      <c r="T13" s="10">
        <f t="shared" si="16"/>
        <v>1.0000000000000002</v>
      </c>
      <c r="U13" s="11">
        <f t="shared" si="7"/>
        <v>2.2204460492503131E-16</v>
      </c>
      <c r="V13" s="8">
        <f t="shared" si="17"/>
        <v>0.24553967948699376</v>
      </c>
      <c r="X13" s="1">
        <v>10</v>
      </c>
      <c r="Y13" s="9">
        <v>814</v>
      </c>
      <c r="Z13" s="10">
        <f t="shared" si="8"/>
        <v>9.7520067089972448E-2</v>
      </c>
      <c r="AA13" s="9">
        <v>341</v>
      </c>
      <c r="AB13" s="1">
        <f t="shared" si="9"/>
        <v>473</v>
      </c>
      <c r="AC13" s="10">
        <f t="shared" si="10"/>
        <v>0.41891891891891891</v>
      </c>
      <c r="AD13" s="10">
        <f t="shared" si="18"/>
        <v>1</v>
      </c>
      <c r="AE13" s="10">
        <f t="shared" si="19"/>
        <v>1</v>
      </c>
      <c r="AF13" s="11">
        <f t="shared" si="11"/>
        <v>0</v>
      </c>
      <c r="AG13" s="8">
        <f t="shared" si="20"/>
        <v>0.2473751549125747</v>
      </c>
      <c r="AL13" s="60" t="s">
        <v>185</v>
      </c>
    </row>
    <row r="14" spans="2:38" ht="31.2" customHeight="1" x14ac:dyDescent="0.3">
      <c r="B14" s="12" t="s">
        <v>13</v>
      </c>
      <c r="C14" s="12">
        <f>SUM(C4:C13)</f>
        <v>23362</v>
      </c>
      <c r="D14" s="13">
        <f>SUM(D4:D13)</f>
        <v>1.0000000000000002</v>
      </c>
      <c r="E14" s="12">
        <f>SUM(E4:E13)</f>
        <v>3727</v>
      </c>
      <c r="F14" s="12">
        <f>SUM(F4:F13)</f>
        <v>19635</v>
      </c>
      <c r="G14" s="13">
        <f t="shared" si="2"/>
        <v>0.15953257426590189</v>
      </c>
      <c r="H14" s="12"/>
      <c r="I14" s="28" t="s">
        <v>14</v>
      </c>
      <c r="J14" s="14">
        <v>37.3291178145248</v>
      </c>
      <c r="K14" s="15">
        <f>SUM(K4:K13)</f>
        <v>0.75244342193788993</v>
      </c>
      <c r="M14" s="12" t="s">
        <v>13</v>
      </c>
      <c r="N14" s="12">
        <f>SUM(N4:N13)</f>
        <v>10018</v>
      </c>
      <c r="O14" s="13">
        <f>SUM(O4:O13)</f>
        <v>1</v>
      </c>
      <c r="P14" s="12">
        <f>SUM(P4:P13)</f>
        <v>1599</v>
      </c>
      <c r="Q14" s="12">
        <f>SUM(Q4:Q13)</f>
        <v>8419</v>
      </c>
      <c r="R14" s="13">
        <f t="shared" si="6"/>
        <v>0.15961269714513876</v>
      </c>
      <c r="S14" s="12"/>
      <c r="T14" s="29" t="s">
        <v>14</v>
      </c>
      <c r="U14" s="25">
        <v>33.5815211743353</v>
      </c>
      <c r="V14" s="15">
        <f>SUM(V4:V13)</f>
        <v>0.7140468405058662</v>
      </c>
      <c r="X14" s="12" t="s">
        <v>13</v>
      </c>
      <c r="Y14" s="12">
        <f>SUM(Y4:Y13)</f>
        <v>8347</v>
      </c>
      <c r="Z14" s="13">
        <f>SUM(Z4:Z13)</f>
        <v>1</v>
      </c>
      <c r="AA14" s="12">
        <f>SUM(AA4:AA13)</f>
        <v>1332</v>
      </c>
      <c r="AB14" s="12">
        <f>SUM(AB4:AB13)</f>
        <v>7015</v>
      </c>
      <c r="AC14" s="13">
        <f t="shared" si="10"/>
        <v>0.15957829160177309</v>
      </c>
      <c r="AD14" s="12"/>
      <c r="AE14" s="30" t="s">
        <v>14</v>
      </c>
      <c r="AF14" s="27">
        <v>31.7841034707216</v>
      </c>
      <c r="AG14" s="15">
        <f>SUM(AG4:AG13)</f>
        <v>0.7082502852103707</v>
      </c>
    </row>
    <row r="15" spans="2:38" ht="34.799999999999997" x14ac:dyDescent="0.3">
      <c r="J15" s="12" t="s">
        <v>15</v>
      </c>
      <c r="K15" s="15">
        <f>K14*2-1</f>
        <v>0.50488684387577987</v>
      </c>
      <c r="U15" s="12" t="s">
        <v>15</v>
      </c>
      <c r="V15" s="15">
        <f>V14*2-1</f>
        <v>0.4280936810117324</v>
      </c>
      <c r="AF15" s="12" t="s">
        <v>15</v>
      </c>
      <c r="AG15" s="15">
        <f>AG14*2-1</f>
        <v>0.4165005704207414</v>
      </c>
    </row>
    <row r="16" spans="2:38" x14ac:dyDescent="0.3">
      <c r="D16" s="16"/>
    </row>
    <row r="17" spans="2:24" x14ac:dyDescent="0.3">
      <c r="D17" s="16"/>
    </row>
    <row r="20" spans="2:24" x14ac:dyDescent="0.3">
      <c r="L20" s="59" t="s">
        <v>16</v>
      </c>
      <c r="M20" s="57"/>
      <c r="N20" s="57"/>
      <c r="P20" s="1"/>
      <c r="Q20" s="2" t="s">
        <v>17</v>
      </c>
      <c r="R20" s="3" t="s">
        <v>18</v>
      </c>
      <c r="S20" s="4" t="s">
        <v>19</v>
      </c>
      <c r="U20" s="56" t="s">
        <v>20</v>
      </c>
      <c r="V20" s="57"/>
      <c r="W20" s="57"/>
      <c r="X20" s="57"/>
    </row>
    <row r="21" spans="2:24" ht="34.799999999999997" x14ac:dyDescent="0.3">
      <c r="L21" s="3" t="s">
        <v>3</v>
      </c>
      <c r="M21" s="2" t="s">
        <v>21</v>
      </c>
      <c r="N21" s="18" t="s">
        <v>22</v>
      </c>
      <c r="P21" s="1" t="s">
        <v>23</v>
      </c>
      <c r="Q21" s="6">
        <f>$G$14</f>
        <v>0.15953257426590189</v>
      </c>
      <c r="R21" s="6">
        <f>$R$14</f>
        <v>0.15961269714513876</v>
      </c>
      <c r="S21" s="6">
        <f>$AC$14</f>
        <v>0.15957829160177309</v>
      </c>
      <c r="U21" s="12" t="s">
        <v>3</v>
      </c>
      <c r="V21" s="2" t="s">
        <v>24</v>
      </c>
      <c r="W21" s="3" t="s">
        <v>25</v>
      </c>
      <c r="X21" s="17" t="s">
        <v>26</v>
      </c>
    </row>
    <row r="22" spans="2:24" x14ac:dyDescent="0.3">
      <c r="L22" s="1">
        <v>1</v>
      </c>
      <c r="M22" s="20">
        <f t="shared" ref="M22:M31" si="21">(O4-D4)*LN(O4/D4)</f>
        <v>3.6312198181350858E-4</v>
      </c>
      <c r="N22" s="20">
        <f t="shared" ref="N22:N31" si="22">(Z4-D4)*LN(Z4/D4)</f>
        <v>5.7658484233525363E-4</v>
      </c>
      <c r="P22" s="1" t="s">
        <v>11</v>
      </c>
      <c r="Q22" s="8">
        <f>$J$14</f>
        <v>37.3291178145248</v>
      </c>
      <c r="R22" s="8">
        <f>$U$14</f>
        <v>33.5815211743353</v>
      </c>
      <c r="S22" s="8">
        <f>$AF$14</f>
        <v>31.7841034707216</v>
      </c>
      <c r="U22" s="1">
        <v>1</v>
      </c>
      <c r="V22" s="10">
        <f t="shared" ref="V22:V31" si="23">G4</f>
        <v>2.5477707006369428E-2</v>
      </c>
      <c r="W22" s="10">
        <f t="shared" ref="W22:W31" si="24">R4</f>
        <v>4.1916167664670656E-2</v>
      </c>
      <c r="X22" s="10">
        <f t="shared" ref="X22:X31" si="25">AC4</f>
        <v>4.2452830188679243E-2</v>
      </c>
    </row>
    <row r="23" spans="2:24" x14ac:dyDescent="0.3">
      <c r="L23" s="1">
        <v>2</v>
      </c>
      <c r="M23" s="20">
        <f t="shared" si="21"/>
        <v>1.3101511558196591E-4</v>
      </c>
      <c r="N23" s="20">
        <f t="shared" si="22"/>
        <v>2.1945871745055696E-4</v>
      </c>
      <c r="P23" s="8" t="s">
        <v>12</v>
      </c>
      <c r="Q23" s="8">
        <f>K14</f>
        <v>0.75244342193788993</v>
      </c>
      <c r="R23" s="8">
        <f>V14</f>
        <v>0.7140468405058662</v>
      </c>
      <c r="S23" s="8">
        <f>AG14</f>
        <v>0.7082502852103707</v>
      </c>
      <c r="U23" s="1">
        <v>2</v>
      </c>
      <c r="V23" s="10">
        <f t="shared" si="23"/>
        <v>4.2526837324525182E-2</v>
      </c>
      <c r="W23" s="10">
        <f t="shared" si="24"/>
        <v>6.4870259481037917E-2</v>
      </c>
      <c r="X23" s="10">
        <f t="shared" si="25"/>
        <v>7.7481840193704604E-2</v>
      </c>
    </row>
    <row r="24" spans="2:24" x14ac:dyDescent="0.3">
      <c r="L24" s="1">
        <v>3</v>
      </c>
      <c r="M24" s="20">
        <f t="shared" si="21"/>
        <v>4.5674685000874962E-5</v>
      </c>
      <c r="N24" s="20">
        <f t="shared" si="22"/>
        <v>3.8010331270151335E-4</v>
      </c>
      <c r="U24" s="1">
        <v>3</v>
      </c>
      <c r="V24" s="10">
        <f t="shared" si="23"/>
        <v>6.121556624398776E-2</v>
      </c>
      <c r="W24" s="10">
        <f t="shared" si="24"/>
        <v>7.6846307385229545E-2</v>
      </c>
      <c r="X24" s="10">
        <f t="shared" si="25"/>
        <v>6.1277705345501955E-2</v>
      </c>
    </row>
    <row r="25" spans="2:24" x14ac:dyDescent="0.3">
      <c r="L25" s="1">
        <v>4</v>
      </c>
      <c r="M25" s="20">
        <f t="shared" si="21"/>
        <v>1.3834237258490608E-4</v>
      </c>
      <c r="N25" s="20">
        <f t="shared" si="22"/>
        <v>3.4508930330988445E-4</v>
      </c>
      <c r="U25" s="1">
        <v>4</v>
      </c>
      <c r="V25" s="10">
        <f t="shared" si="23"/>
        <v>7.9686209744013206E-2</v>
      </c>
      <c r="W25" s="10">
        <f t="shared" si="24"/>
        <v>8.6913086913086912E-2</v>
      </c>
      <c r="X25" s="10">
        <f t="shared" si="25"/>
        <v>0.1091703056768559</v>
      </c>
    </row>
    <row r="26" spans="2:24" x14ac:dyDescent="0.3">
      <c r="L26" s="1">
        <v>5</v>
      </c>
      <c r="M26" s="20">
        <f t="shared" si="21"/>
        <v>3.2570185030272404E-8</v>
      </c>
      <c r="N26" s="20">
        <f t="shared" si="22"/>
        <v>5.6052260984083455E-4</v>
      </c>
      <c r="U26" s="1">
        <v>5</v>
      </c>
      <c r="V26" s="10">
        <f t="shared" si="23"/>
        <v>0.11120615911035073</v>
      </c>
      <c r="W26" s="10">
        <f t="shared" si="24"/>
        <v>0.10878243512974052</v>
      </c>
      <c r="X26" s="10">
        <f t="shared" si="25"/>
        <v>0.12661498708010335</v>
      </c>
    </row>
    <row r="27" spans="2:24" x14ac:dyDescent="0.3">
      <c r="L27" s="1">
        <v>6</v>
      </c>
      <c r="M27" s="20">
        <f t="shared" si="21"/>
        <v>8.1879173658158281E-5</v>
      </c>
      <c r="N27" s="20">
        <f t="shared" si="22"/>
        <v>2.7621470540104958E-4</v>
      </c>
      <c r="U27" s="1">
        <v>6</v>
      </c>
      <c r="V27" s="10">
        <f t="shared" si="23"/>
        <v>0.13851913477537436</v>
      </c>
      <c r="W27" s="10">
        <f t="shared" si="24"/>
        <v>0.13572854291417166</v>
      </c>
      <c r="X27" s="10">
        <f t="shared" si="25"/>
        <v>0.13053097345132744</v>
      </c>
    </row>
    <row r="28" spans="2:24" x14ac:dyDescent="0.3">
      <c r="L28" s="1">
        <v>7</v>
      </c>
      <c r="M28" s="20">
        <f t="shared" si="21"/>
        <v>2.30690731041411E-5</v>
      </c>
      <c r="N28" s="20">
        <f t="shared" si="22"/>
        <v>4.4657091321068935E-5</v>
      </c>
      <c r="U28" s="1">
        <v>7</v>
      </c>
      <c r="V28" s="10">
        <f t="shared" si="23"/>
        <v>0.17224880382775121</v>
      </c>
      <c r="W28" s="10">
        <f t="shared" si="24"/>
        <v>0.19380619380619379</v>
      </c>
      <c r="X28" s="10">
        <f t="shared" si="25"/>
        <v>0.14898688915375446</v>
      </c>
    </row>
    <row r="29" spans="2:24" x14ac:dyDescent="0.3">
      <c r="L29" s="1">
        <v>8</v>
      </c>
      <c r="M29" s="20">
        <f t="shared" si="21"/>
        <v>2.2179534181503416E-5</v>
      </c>
      <c r="N29" s="20">
        <f t="shared" si="22"/>
        <v>8.629104259467905E-5</v>
      </c>
      <c r="U29" s="1">
        <v>8</v>
      </c>
      <c r="V29" s="10">
        <f t="shared" si="23"/>
        <v>0.20156385751520417</v>
      </c>
      <c r="W29" s="10">
        <f t="shared" si="24"/>
        <v>0.20658682634730538</v>
      </c>
      <c r="X29" s="10">
        <f t="shared" si="25"/>
        <v>0.20897284533648169</v>
      </c>
    </row>
    <row r="30" spans="2:24" x14ac:dyDescent="0.3">
      <c r="L30" s="1">
        <v>9</v>
      </c>
      <c r="M30" s="20">
        <f t="shared" si="21"/>
        <v>5.7390016472146044E-6</v>
      </c>
      <c r="N30" s="20">
        <f t="shared" si="22"/>
        <v>4.0027824726373987E-5</v>
      </c>
      <c r="U30" s="1">
        <v>9</v>
      </c>
      <c r="V30" s="10">
        <f t="shared" si="23"/>
        <v>0.26994394135403194</v>
      </c>
      <c r="W30" s="10">
        <f t="shared" si="24"/>
        <v>0.2744510978043912</v>
      </c>
      <c r="X30" s="10">
        <f t="shared" si="25"/>
        <v>0.27832512315270935</v>
      </c>
    </row>
    <row r="31" spans="2:24" x14ac:dyDescent="0.3">
      <c r="L31" s="1">
        <v>10</v>
      </c>
      <c r="M31" s="20">
        <f t="shared" si="21"/>
        <v>2.1436835264663579E-5</v>
      </c>
      <c r="N31" s="20">
        <f t="shared" si="22"/>
        <v>1.5837692838842099E-4</v>
      </c>
      <c r="U31" s="1">
        <v>10</v>
      </c>
      <c r="V31" s="10">
        <f t="shared" si="23"/>
        <v>0.48755799240826653</v>
      </c>
      <c r="W31" s="10">
        <f t="shared" si="24"/>
        <v>0.40618762475049902</v>
      </c>
      <c r="X31" s="10">
        <f t="shared" si="25"/>
        <v>0.41891891891891891</v>
      </c>
    </row>
    <row r="32" spans="2:24" ht="24" x14ac:dyDescent="0.3">
      <c r="B32" s="21"/>
      <c r="E32" s="22"/>
      <c r="L32" s="12" t="s">
        <v>13</v>
      </c>
      <c r="M32" s="23">
        <f>SUM(M22:M31)</f>
        <v>8.324903430219667E-4</v>
      </c>
      <c r="N32" s="24">
        <f>SUM(N22:N31)</f>
        <v>2.6873263780696349E-3</v>
      </c>
    </row>
    <row r="33" spans="2:11" ht="20.399999999999999" x14ac:dyDescent="0.3">
      <c r="B33" s="21"/>
      <c r="E33" s="22"/>
    </row>
    <row r="34" spans="2:11" ht="20.399999999999999" x14ac:dyDescent="0.3">
      <c r="B34" s="21"/>
      <c r="C34" s="22"/>
      <c r="E34" s="22"/>
    </row>
    <row r="36" spans="2:11" x14ac:dyDescent="0.3">
      <c r="K36" s="21"/>
    </row>
    <row r="54" spans="12:16" x14ac:dyDescent="0.3">
      <c r="L54" s="31"/>
      <c r="M54" s="32"/>
      <c r="N54" s="32"/>
      <c r="O54" s="32"/>
      <c r="P54" s="32"/>
    </row>
    <row r="55" spans="12:16" x14ac:dyDescent="0.3">
      <c r="L55" s="33"/>
      <c r="M55" s="34"/>
      <c r="N55" s="34"/>
      <c r="O55" s="34"/>
      <c r="P55" s="34"/>
    </row>
    <row r="56" spans="12:16" ht="20.399999999999999" x14ac:dyDescent="0.3">
      <c r="L56" s="35"/>
      <c r="M56" s="34"/>
      <c r="N56" s="34"/>
      <c r="O56" s="34"/>
      <c r="P56" s="34"/>
    </row>
    <row r="57" spans="12:16" x14ac:dyDescent="0.3">
      <c r="L57" s="32"/>
      <c r="M57" s="32"/>
      <c r="N57" s="32"/>
      <c r="O57" s="32"/>
      <c r="P57" s="32"/>
    </row>
    <row r="58" spans="12:16" x14ac:dyDescent="0.3">
      <c r="L58" s="32"/>
      <c r="M58" s="32"/>
      <c r="N58" s="32"/>
      <c r="O58" s="32"/>
      <c r="P58" s="32"/>
    </row>
    <row r="59" spans="12:16" x14ac:dyDescent="0.3">
      <c r="L59" s="32"/>
      <c r="M59" s="32"/>
      <c r="N59" s="32"/>
      <c r="O59" s="32"/>
      <c r="P59" s="32"/>
    </row>
    <row r="60" spans="12:16" x14ac:dyDescent="0.3">
      <c r="L60" s="32"/>
      <c r="M60" s="32"/>
      <c r="N60" s="32"/>
      <c r="O60" s="32"/>
      <c r="P60" s="32"/>
    </row>
    <row r="61" spans="12:16" x14ac:dyDescent="0.3">
      <c r="L61" s="32"/>
      <c r="M61" s="32"/>
      <c r="N61" s="32"/>
      <c r="O61" s="32"/>
      <c r="P61" s="32"/>
    </row>
    <row r="62" spans="12:16" x14ac:dyDescent="0.3">
      <c r="L62" s="32"/>
      <c r="M62" s="32"/>
      <c r="N62" s="32"/>
      <c r="O62" s="32"/>
      <c r="P62" s="32"/>
    </row>
    <row r="63" spans="12:16" x14ac:dyDescent="0.3">
      <c r="L63" s="32"/>
      <c r="M63" s="32"/>
      <c r="N63" s="32"/>
      <c r="O63" s="32"/>
      <c r="P63" s="32"/>
    </row>
    <row r="64" spans="12:16" x14ac:dyDescent="0.3">
      <c r="L64" s="32"/>
      <c r="M64" s="32"/>
      <c r="N64" s="32"/>
      <c r="O64" s="32"/>
      <c r="P64" s="32"/>
    </row>
    <row r="65" spans="12:16" x14ac:dyDescent="0.3">
      <c r="L65" s="32"/>
      <c r="M65" s="32"/>
      <c r="N65" s="32"/>
      <c r="O65" s="32"/>
      <c r="P65" s="32"/>
    </row>
    <row r="66" spans="12:16" x14ac:dyDescent="0.3">
      <c r="L66" s="32"/>
      <c r="M66" s="32"/>
      <c r="N66" s="32"/>
      <c r="O66" s="32"/>
      <c r="P66" s="32"/>
    </row>
    <row r="67" spans="12:16" x14ac:dyDescent="0.3">
      <c r="L67" s="32"/>
      <c r="M67" s="32"/>
      <c r="N67" s="36"/>
      <c r="O67" s="32"/>
      <c r="P67" s="36"/>
    </row>
    <row r="68" spans="12:16" x14ac:dyDescent="0.3">
      <c r="L68" s="32"/>
      <c r="M68" s="32"/>
      <c r="N68" s="32"/>
      <c r="O68" s="32"/>
      <c r="P68" s="32"/>
    </row>
    <row r="69" spans="12:16" x14ac:dyDescent="0.3">
      <c r="L69" s="32"/>
      <c r="M69" s="32"/>
      <c r="N69" s="32"/>
      <c r="O69" s="32"/>
      <c r="P69" s="32"/>
    </row>
  </sheetData>
  <mergeCells count="5">
    <mergeCell ref="M2:V2"/>
    <mergeCell ref="B2:K2"/>
    <mergeCell ref="U20:X20"/>
    <mergeCell ref="X2:AG2"/>
    <mergeCell ref="L20:N20"/>
  </mergeCells>
  <conditionalFormatting sqref="V22:V3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:W3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2:X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4"/>
  <sheetViews>
    <sheetView workbookViewId="0">
      <selection activeCell="E5" sqref="E5"/>
    </sheetView>
  </sheetViews>
  <sheetFormatPr defaultColWidth="25" defaultRowHeight="20.399999999999999" x14ac:dyDescent="0.7"/>
  <cols>
    <col min="1" max="1" width="55.33203125" style="37" bestFit="1" customWidth="1"/>
    <col min="2" max="2" width="14.88671875" style="47" customWidth="1"/>
    <col min="3" max="3" width="14.5546875" style="51" bestFit="1" customWidth="1"/>
    <col min="4" max="4" width="20.5546875" style="37" customWidth="1"/>
    <col min="5" max="16384" width="25" style="37"/>
  </cols>
  <sheetData>
    <row r="1" spans="1:4" x14ac:dyDescent="0.7">
      <c r="A1" s="42" t="s">
        <v>27</v>
      </c>
      <c r="B1" s="44" t="s">
        <v>28</v>
      </c>
      <c r="C1" s="48" t="s">
        <v>29</v>
      </c>
      <c r="D1" s="43" t="s">
        <v>30</v>
      </c>
    </row>
    <row r="2" spans="1:4" x14ac:dyDescent="0.7">
      <c r="A2" s="38" t="s">
        <v>31</v>
      </c>
      <c r="B2" s="45">
        <v>18.280101044887939</v>
      </c>
      <c r="C2" s="49">
        <v>0</v>
      </c>
      <c r="D2" s="39" t="s">
        <v>32</v>
      </c>
    </row>
    <row r="3" spans="1:4" x14ac:dyDescent="0.7">
      <c r="A3" s="38" t="s">
        <v>33</v>
      </c>
      <c r="B3" s="45">
        <v>15.39797573558778</v>
      </c>
      <c r="C3" s="49">
        <v>0</v>
      </c>
      <c r="D3" s="39" t="s">
        <v>32</v>
      </c>
    </row>
    <row r="4" spans="1:4" x14ac:dyDescent="0.7">
      <c r="A4" s="38" t="s">
        <v>34</v>
      </c>
      <c r="B4" s="45">
        <v>8.9990124967103622</v>
      </c>
      <c r="C4" s="49">
        <v>6.0775381309801577E-2</v>
      </c>
      <c r="D4" s="39" t="s">
        <v>32</v>
      </c>
    </row>
    <row r="5" spans="1:4" x14ac:dyDescent="0.7">
      <c r="A5" s="38" t="s">
        <v>35</v>
      </c>
      <c r="B5" s="45">
        <v>7.5965768624902994</v>
      </c>
      <c r="C5" s="49">
        <v>0</v>
      </c>
      <c r="D5" s="39" t="s">
        <v>32</v>
      </c>
    </row>
    <row r="6" spans="1:4" x14ac:dyDescent="0.7">
      <c r="A6" s="38" t="s">
        <v>36</v>
      </c>
      <c r="B6" s="45">
        <v>6.5671941382537176</v>
      </c>
      <c r="C6" s="49">
        <v>3.2262783185259089E-2</v>
      </c>
      <c r="D6" s="39" t="s">
        <v>32</v>
      </c>
    </row>
    <row r="7" spans="1:4" x14ac:dyDescent="0.7">
      <c r="A7" s="38" t="s">
        <v>37</v>
      </c>
      <c r="B7" s="45">
        <v>3.7204835891861592</v>
      </c>
      <c r="C7" s="49">
        <v>5.6989631202384761E-2</v>
      </c>
      <c r="D7" s="39" t="s">
        <v>32</v>
      </c>
    </row>
    <row r="8" spans="1:4" x14ac:dyDescent="0.7">
      <c r="A8" s="38" t="s">
        <v>38</v>
      </c>
      <c r="B8" s="45">
        <v>3.0436484925408211</v>
      </c>
      <c r="C8" s="49">
        <v>1.0076243222597101E-2</v>
      </c>
      <c r="D8" s="39" t="s">
        <v>32</v>
      </c>
    </row>
    <row r="9" spans="1:4" x14ac:dyDescent="0.7">
      <c r="A9" s="38" t="s">
        <v>39</v>
      </c>
      <c r="B9" s="45">
        <v>2.9000514055147848</v>
      </c>
      <c r="C9" s="49">
        <v>0</v>
      </c>
      <c r="D9" s="39" t="s">
        <v>32</v>
      </c>
    </row>
    <row r="10" spans="1:4" x14ac:dyDescent="0.7">
      <c r="A10" s="38" t="s">
        <v>40</v>
      </c>
      <c r="B10" s="45">
        <v>2.6007848624617642</v>
      </c>
      <c r="C10" s="49">
        <v>0</v>
      </c>
      <c r="D10" s="39" t="s">
        <v>32</v>
      </c>
    </row>
    <row r="11" spans="1:4" x14ac:dyDescent="0.7">
      <c r="A11" s="38" t="s">
        <v>41</v>
      </c>
      <c r="B11" s="45">
        <v>2.3799137445064269</v>
      </c>
      <c r="C11" s="49">
        <v>7.1018155708903047E-2</v>
      </c>
      <c r="D11" s="39" t="s">
        <v>32</v>
      </c>
    </row>
    <row r="12" spans="1:4" x14ac:dyDescent="0.7">
      <c r="A12" s="38" t="s">
        <v>42</v>
      </c>
      <c r="B12" s="45">
        <v>2.2304691965027321</v>
      </c>
      <c r="C12" s="49">
        <v>1.9805864141471129E-2</v>
      </c>
      <c r="D12" s="39" t="s">
        <v>32</v>
      </c>
    </row>
    <row r="13" spans="1:4" x14ac:dyDescent="0.7">
      <c r="A13" s="38" t="s">
        <v>43</v>
      </c>
      <c r="B13" s="45">
        <v>1.583222507884755</v>
      </c>
      <c r="C13" s="49">
        <v>5.058731255991886E-3</v>
      </c>
      <c r="D13" s="39" t="s">
        <v>32</v>
      </c>
    </row>
    <row r="14" spans="1:4" x14ac:dyDescent="0.7">
      <c r="A14" s="38" t="s">
        <v>44</v>
      </c>
      <c r="B14" s="45">
        <v>1.5092947508517129</v>
      </c>
      <c r="C14" s="49">
        <v>4.8693616537980704E-3</v>
      </c>
      <c r="D14" s="39" t="s">
        <v>32</v>
      </c>
    </row>
    <row r="15" spans="1:4" x14ac:dyDescent="0.7">
      <c r="A15" s="38" t="s">
        <v>45</v>
      </c>
      <c r="B15" s="45">
        <v>1.503206513339526</v>
      </c>
      <c r="C15" s="49">
        <v>4.2941953136643677E-3</v>
      </c>
      <c r="D15" s="39" t="s">
        <v>32</v>
      </c>
    </row>
    <row r="16" spans="1:4" x14ac:dyDescent="0.7">
      <c r="A16" s="38" t="s">
        <v>46</v>
      </c>
      <c r="B16" s="45">
        <v>1.426592456956054</v>
      </c>
      <c r="C16" s="49">
        <v>1.47559456449142E-3</v>
      </c>
      <c r="D16" s="39" t="s">
        <v>32</v>
      </c>
    </row>
    <row r="17" spans="1:4" x14ac:dyDescent="0.7">
      <c r="A17" s="38" t="s">
        <v>47</v>
      </c>
      <c r="B17" s="45">
        <v>1.3156091942814589</v>
      </c>
      <c r="C17" s="49">
        <v>0</v>
      </c>
      <c r="D17" s="39" t="s">
        <v>32</v>
      </c>
    </row>
    <row r="18" spans="1:4" x14ac:dyDescent="0.7">
      <c r="A18" s="38" t="s">
        <v>48</v>
      </c>
      <c r="B18" s="45">
        <v>1.2310340529591359</v>
      </c>
      <c r="C18" s="49">
        <v>6.0951775431005838E-3</v>
      </c>
      <c r="D18" s="39" t="s">
        <v>32</v>
      </c>
    </row>
    <row r="19" spans="1:4" x14ac:dyDescent="0.7">
      <c r="A19" s="38" t="s">
        <v>49</v>
      </c>
      <c r="B19" s="45">
        <v>1.2071799953744971</v>
      </c>
      <c r="C19" s="49">
        <v>1.1537799876704641E-2</v>
      </c>
      <c r="D19" s="39" t="s">
        <v>32</v>
      </c>
    </row>
    <row r="20" spans="1:4" x14ac:dyDescent="0.7">
      <c r="A20" s="38" t="s">
        <v>50</v>
      </c>
      <c r="B20" s="45">
        <v>1.145412097048554</v>
      </c>
      <c r="C20" s="49">
        <v>3.8269557200250829E-3</v>
      </c>
      <c r="D20" s="39" t="s">
        <v>32</v>
      </c>
    </row>
    <row r="21" spans="1:4" x14ac:dyDescent="0.7">
      <c r="A21" s="38" t="s">
        <v>51</v>
      </c>
      <c r="B21" s="45">
        <v>1.065038573619586</v>
      </c>
      <c r="C21" s="49">
        <v>0</v>
      </c>
      <c r="D21" s="39" t="s">
        <v>32</v>
      </c>
    </row>
    <row r="22" spans="1:4" x14ac:dyDescent="0.7">
      <c r="A22" s="38" t="s">
        <v>52</v>
      </c>
      <c r="B22" s="45">
        <v>1.001398249002349</v>
      </c>
      <c r="C22" s="49">
        <v>1.655174151625278E-3</v>
      </c>
      <c r="D22" s="39" t="s">
        <v>32</v>
      </c>
    </row>
    <row r="23" spans="1:4" x14ac:dyDescent="0.7">
      <c r="A23" s="38" t="s">
        <v>53</v>
      </c>
      <c r="B23" s="45">
        <v>0.99275410589706292</v>
      </c>
      <c r="C23" s="49">
        <v>2.6960997183790112E-3</v>
      </c>
      <c r="D23" s="39" t="s">
        <v>32</v>
      </c>
    </row>
    <row r="24" spans="1:4" x14ac:dyDescent="0.7">
      <c r="A24" s="38" t="s">
        <v>54</v>
      </c>
      <c r="B24" s="45">
        <v>0.96652670786286554</v>
      </c>
      <c r="C24" s="49">
        <v>3.8152433986809449E-3</v>
      </c>
      <c r="D24" s="39" t="s">
        <v>32</v>
      </c>
    </row>
    <row r="25" spans="1:4" x14ac:dyDescent="0.7">
      <c r="A25" s="38" t="s">
        <v>55</v>
      </c>
      <c r="B25" s="45">
        <v>0.71524175394559719</v>
      </c>
      <c r="C25" s="49">
        <v>0</v>
      </c>
      <c r="D25" s="39" t="s">
        <v>32</v>
      </c>
    </row>
    <row r="26" spans="1:4" x14ac:dyDescent="0.7">
      <c r="A26" s="38" t="s">
        <v>56</v>
      </c>
      <c r="B26" s="45">
        <v>0.66996785015022198</v>
      </c>
      <c r="C26" s="49">
        <v>0</v>
      </c>
      <c r="D26" s="39" t="s">
        <v>32</v>
      </c>
    </row>
    <row r="27" spans="1:4" x14ac:dyDescent="0.7">
      <c r="A27" s="38" t="s">
        <v>57</v>
      </c>
      <c r="B27" s="45">
        <v>0.62255145562295655</v>
      </c>
      <c r="C27" s="49">
        <v>0</v>
      </c>
      <c r="D27" s="39" t="s">
        <v>32</v>
      </c>
    </row>
    <row r="28" spans="1:4" x14ac:dyDescent="0.7">
      <c r="A28" s="38" t="s">
        <v>58</v>
      </c>
      <c r="B28" s="45">
        <v>0.61455291354238228</v>
      </c>
      <c r="C28" s="49">
        <v>2.097461243757552E-3</v>
      </c>
      <c r="D28" s="39" t="s">
        <v>32</v>
      </c>
    </row>
    <row r="29" spans="1:4" x14ac:dyDescent="0.7">
      <c r="A29" s="38" t="s">
        <v>59</v>
      </c>
      <c r="B29" s="45">
        <v>0.60219083375626137</v>
      </c>
      <c r="C29" s="49">
        <v>0</v>
      </c>
      <c r="D29" s="39" t="s">
        <v>32</v>
      </c>
    </row>
    <row r="30" spans="1:4" x14ac:dyDescent="0.7">
      <c r="A30" s="38" t="s">
        <v>60</v>
      </c>
      <c r="B30" s="45">
        <v>0.58528901354772533</v>
      </c>
      <c r="C30" s="49">
        <v>0</v>
      </c>
      <c r="D30" s="39" t="s">
        <v>32</v>
      </c>
    </row>
    <row r="31" spans="1:4" x14ac:dyDescent="0.7">
      <c r="A31" s="38" t="s">
        <v>61</v>
      </c>
      <c r="B31" s="45">
        <v>0.53043407091229189</v>
      </c>
      <c r="C31" s="49">
        <v>0</v>
      </c>
      <c r="D31" s="39" t="s">
        <v>32</v>
      </c>
    </row>
    <row r="32" spans="1:4" x14ac:dyDescent="0.7">
      <c r="A32" s="38" t="s">
        <v>62</v>
      </c>
      <c r="B32" s="45">
        <v>0.51431540719709323</v>
      </c>
      <c r="C32" s="49">
        <v>0</v>
      </c>
      <c r="D32" s="39" t="s">
        <v>32</v>
      </c>
    </row>
    <row r="33" spans="1:4" x14ac:dyDescent="0.7">
      <c r="A33" s="38" t="s">
        <v>63</v>
      </c>
      <c r="B33" s="45">
        <v>0.48579891239903511</v>
      </c>
      <c r="C33" s="49">
        <v>0</v>
      </c>
      <c r="D33" s="39" t="s">
        <v>32</v>
      </c>
    </row>
    <row r="34" spans="1:4" x14ac:dyDescent="0.7">
      <c r="A34" s="38" t="s">
        <v>64</v>
      </c>
      <c r="B34" s="45">
        <v>0.4305287809145803</v>
      </c>
      <c r="C34" s="49">
        <v>0</v>
      </c>
      <c r="D34" s="39" t="s">
        <v>32</v>
      </c>
    </row>
    <row r="35" spans="1:4" x14ac:dyDescent="0.7">
      <c r="A35" s="38" t="s">
        <v>65</v>
      </c>
      <c r="B35" s="45">
        <v>0.40165941135069272</v>
      </c>
      <c r="C35" s="49">
        <v>0</v>
      </c>
      <c r="D35" s="39" t="s">
        <v>32</v>
      </c>
    </row>
    <row r="36" spans="1:4" x14ac:dyDescent="0.7">
      <c r="A36" s="38" t="s">
        <v>66</v>
      </c>
      <c r="B36" s="45">
        <v>0.3915770655576073</v>
      </c>
      <c r="C36" s="49">
        <v>0</v>
      </c>
      <c r="D36" s="39" t="s">
        <v>32</v>
      </c>
    </row>
    <row r="37" spans="1:4" x14ac:dyDescent="0.7">
      <c r="A37" s="38" t="s">
        <v>67</v>
      </c>
      <c r="B37" s="45">
        <v>0.35963908021408381</v>
      </c>
      <c r="C37" s="49">
        <v>0</v>
      </c>
      <c r="D37" s="39" t="s">
        <v>32</v>
      </c>
    </row>
    <row r="38" spans="1:4" x14ac:dyDescent="0.7">
      <c r="A38" s="38" t="s">
        <v>68</v>
      </c>
      <c r="B38" s="45">
        <v>0.31869014025196402</v>
      </c>
      <c r="C38" s="49">
        <v>0</v>
      </c>
      <c r="D38" s="39" t="s">
        <v>32</v>
      </c>
    </row>
    <row r="39" spans="1:4" x14ac:dyDescent="0.7">
      <c r="A39" s="38" t="s">
        <v>69</v>
      </c>
      <c r="B39" s="45">
        <v>0.31181164402888578</v>
      </c>
      <c r="C39" s="49">
        <v>0</v>
      </c>
      <c r="D39" s="39" t="s">
        <v>32</v>
      </c>
    </row>
    <row r="40" spans="1:4" x14ac:dyDescent="0.7">
      <c r="A40" s="38" t="s">
        <v>70</v>
      </c>
      <c r="B40" s="45">
        <v>0.31111393560499961</v>
      </c>
      <c r="C40" s="49">
        <v>0</v>
      </c>
      <c r="D40" s="39" t="s">
        <v>32</v>
      </c>
    </row>
    <row r="41" spans="1:4" x14ac:dyDescent="0.7">
      <c r="A41" s="38" t="s">
        <v>71</v>
      </c>
      <c r="B41" s="45">
        <v>0.23198850808922691</v>
      </c>
      <c r="C41" s="49">
        <v>0</v>
      </c>
      <c r="D41" s="39" t="s">
        <v>32</v>
      </c>
    </row>
    <row r="42" spans="1:4" x14ac:dyDescent="0.7">
      <c r="A42" s="38" t="s">
        <v>72</v>
      </c>
      <c r="B42" s="45">
        <v>0.2073543757713624</v>
      </c>
      <c r="C42" s="49">
        <v>0</v>
      </c>
      <c r="D42" s="39" t="s">
        <v>32</v>
      </c>
    </row>
    <row r="43" spans="1:4" x14ac:dyDescent="0.7">
      <c r="A43" s="38" t="s">
        <v>73</v>
      </c>
      <c r="B43" s="45">
        <v>0.1904463749120956</v>
      </c>
      <c r="C43" s="49">
        <v>0</v>
      </c>
      <c r="D43" s="39" t="s">
        <v>32</v>
      </c>
    </row>
    <row r="44" spans="1:4" x14ac:dyDescent="0.7">
      <c r="A44" s="38" t="s">
        <v>74</v>
      </c>
      <c r="B44" s="45">
        <v>0.18855785917822029</v>
      </c>
      <c r="C44" s="49">
        <v>0</v>
      </c>
      <c r="D44" s="39" t="s">
        <v>32</v>
      </c>
    </row>
    <row r="45" spans="1:4" x14ac:dyDescent="0.7">
      <c r="A45" s="38" t="s">
        <v>75</v>
      </c>
      <c r="B45" s="45">
        <v>0.16576247612721989</v>
      </c>
      <c r="C45" s="49">
        <v>0</v>
      </c>
      <c r="D45" s="39" t="s">
        <v>32</v>
      </c>
    </row>
    <row r="46" spans="1:4" x14ac:dyDescent="0.7">
      <c r="A46" s="38" t="s">
        <v>76</v>
      </c>
      <c r="B46" s="45">
        <v>0.16206841958201271</v>
      </c>
      <c r="C46" s="49">
        <v>0</v>
      </c>
      <c r="D46" s="39" t="s">
        <v>32</v>
      </c>
    </row>
    <row r="47" spans="1:4" x14ac:dyDescent="0.7">
      <c r="A47" s="38" t="s">
        <v>77</v>
      </c>
      <c r="B47" s="45">
        <v>0.1582625771387545</v>
      </c>
      <c r="C47" s="49">
        <v>0</v>
      </c>
      <c r="D47" s="39" t="s">
        <v>32</v>
      </c>
    </row>
    <row r="48" spans="1:4" x14ac:dyDescent="0.7">
      <c r="A48" s="38" t="s">
        <v>78</v>
      </c>
      <c r="B48" s="45">
        <v>0.15622297983149599</v>
      </c>
      <c r="C48" s="49">
        <v>0</v>
      </c>
      <c r="D48" s="39" t="s">
        <v>32</v>
      </c>
    </row>
    <row r="49" spans="1:4" x14ac:dyDescent="0.7">
      <c r="A49" s="38" t="s">
        <v>79</v>
      </c>
      <c r="B49" s="45">
        <v>0.1069369349558958</v>
      </c>
      <c r="C49" s="49">
        <v>0</v>
      </c>
      <c r="D49" s="39" t="s">
        <v>32</v>
      </c>
    </row>
    <row r="50" spans="1:4" x14ac:dyDescent="0.7">
      <c r="A50" s="38" t="s">
        <v>80</v>
      </c>
      <c r="B50" s="45">
        <v>0.1055980453746822</v>
      </c>
      <c r="C50" s="49">
        <v>0</v>
      </c>
      <c r="D50" s="39" t="s">
        <v>32</v>
      </c>
    </row>
    <row r="51" spans="1:4" x14ac:dyDescent="0.7">
      <c r="A51" s="38" t="s">
        <v>81</v>
      </c>
      <c r="B51" s="45">
        <v>9.8838984253249773E-2</v>
      </c>
      <c r="C51" s="49">
        <v>0</v>
      </c>
      <c r="D51" s="39" t="s">
        <v>82</v>
      </c>
    </row>
    <row r="52" spans="1:4" x14ac:dyDescent="0.7">
      <c r="A52" s="38" t="s">
        <v>83</v>
      </c>
      <c r="B52" s="45">
        <v>8.8277667836528503E-2</v>
      </c>
      <c r="C52" s="49">
        <v>0</v>
      </c>
      <c r="D52" s="39" t="s">
        <v>82</v>
      </c>
    </row>
    <row r="53" spans="1:4" x14ac:dyDescent="0.7">
      <c r="A53" s="38" t="s">
        <v>84</v>
      </c>
      <c r="B53" s="45">
        <v>8.7709273072627617E-2</v>
      </c>
      <c r="C53" s="49">
        <v>0</v>
      </c>
      <c r="D53" s="39" t="s">
        <v>82</v>
      </c>
    </row>
    <row r="54" spans="1:4" x14ac:dyDescent="0.7">
      <c r="A54" s="38" t="s">
        <v>85</v>
      </c>
      <c r="B54" s="45">
        <v>8.4705875756381013E-2</v>
      </c>
      <c r="C54" s="49">
        <v>0</v>
      </c>
      <c r="D54" s="39" t="s">
        <v>82</v>
      </c>
    </row>
    <row r="55" spans="1:4" x14ac:dyDescent="0.7">
      <c r="A55" s="38" t="s">
        <v>86</v>
      </c>
      <c r="B55" s="45">
        <v>8.0632456331141772E-2</v>
      </c>
      <c r="C55" s="49">
        <v>0</v>
      </c>
      <c r="D55" s="39" t="s">
        <v>82</v>
      </c>
    </row>
    <row r="56" spans="1:4" x14ac:dyDescent="0.7">
      <c r="A56" s="38" t="s">
        <v>87</v>
      </c>
      <c r="B56" s="45">
        <v>7.7841298790869068E-2</v>
      </c>
      <c r="C56" s="49">
        <v>0</v>
      </c>
      <c r="D56" s="39" t="s">
        <v>82</v>
      </c>
    </row>
    <row r="57" spans="1:4" x14ac:dyDescent="0.7">
      <c r="A57" s="38" t="s">
        <v>88</v>
      </c>
      <c r="B57" s="45">
        <v>7.586864090229703E-2</v>
      </c>
      <c r="C57" s="49">
        <v>0</v>
      </c>
      <c r="D57" s="39" t="s">
        <v>82</v>
      </c>
    </row>
    <row r="58" spans="1:4" x14ac:dyDescent="0.7">
      <c r="A58" s="38" t="s">
        <v>89</v>
      </c>
      <c r="B58" s="45">
        <v>7.0756317945967623E-2</v>
      </c>
      <c r="C58" s="49">
        <v>0</v>
      </c>
      <c r="D58" s="39" t="s">
        <v>82</v>
      </c>
    </row>
    <row r="59" spans="1:4" x14ac:dyDescent="0.7">
      <c r="A59" s="38" t="s">
        <v>90</v>
      </c>
      <c r="B59" s="45">
        <v>6.8634567216619979E-2</v>
      </c>
      <c r="C59" s="49">
        <v>0</v>
      </c>
      <c r="D59" s="39" t="s">
        <v>82</v>
      </c>
    </row>
    <row r="60" spans="1:4" x14ac:dyDescent="0.7">
      <c r="A60" s="38" t="s">
        <v>91</v>
      </c>
      <c r="B60" s="45">
        <v>6.7488904896556526E-2</v>
      </c>
      <c r="C60" s="49">
        <v>0</v>
      </c>
      <c r="D60" s="39" t="s">
        <v>82</v>
      </c>
    </row>
    <row r="61" spans="1:4" x14ac:dyDescent="0.7">
      <c r="A61" s="38" t="s">
        <v>92</v>
      </c>
      <c r="B61" s="45">
        <v>5.627314491834489E-2</v>
      </c>
      <c r="C61" s="49">
        <v>0</v>
      </c>
      <c r="D61" s="39" t="s">
        <v>82</v>
      </c>
    </row>
    <row r="62" spans="1:4" x14ac:dyDescent="0.7">
      <c r="A62" s="38" t="s">
        <v>93</v>
      </c>
      <c r="B62" s="45">
        <v>5.5850467363167913E-2</v>
      </c>
      <c r="C62" s="49">
        <v>0</v>
      </c>
      <c r="D62" s="39" t="s">
        <v>82</v>
      </c>
    </row>
    <row r="63" spans="1:4" x14ac:dyDescent="0.7">
      <c r="A63" s="38" t="s">
        <v>94</v>
      </c>
      <c r="B63" s="45">
        <v>5.0278207616689947E-2</v>
      </c>
      <c r="C63" s="49">
        <v>0</v>
      </c>
      <c r="D63" s="39" t="s">
        <v>82</v>
      </c>
    </row>
    <row r="64" spans="1:4" x14ac:dyDescent="0.7">
      <c r="A64" s="38" t="s">
        <v>95</v>
      </c>
      <c r="B64" s="45">
        <v>4.8848926391333501E-2</v>
      </c>
      <c r="C64" s="49">
        <v>0</v>
      </c>
      <c r="D64" s="39" t="s">
        <v>82</v>
      </c>
    </row>
    <row r="65" spans="1:4" x14ac:dyDescent="0.7">
      <c r="A65" s="38" t="s">
        <v>96</v>
      </c>
      <c r="B65" s="45">
        <v>4.753614815462906E-2</v>
      </c>
      <c r="C65" s="49">
        <v>0</v>
      </c>
      <c r="D65" s="39" t="s">
        <v>82</v>
      </c>
    </row>
    <row r="66" spans="1:4" x14ac:dyDescent="0.7">
      <c r="A66" s="38" t="s">
        <v>97</v>
      </c>
      <c r="B66" s="45">
        <v>4.5936448728355957E-2</v>
      </c>
      <c r="C66" s="49">
        <v>0</v>
      </c>
      <c r="D66" s="39" t="s">
        <v>82</v>
      </c>
    </row>
    <row r="67" spans="1:4" x14ac:dyDescent="0.7">
      <c r="A67" s="38" t="s">
        <v>98</v>
      </c>
      <c r="B67" s="45">
        <v>4.5841099535080247E-2</v>
      </c>
      <c r="C67" s="49">
        <v>0</v>
      </c>
      <c r="D67" s="39" t="s">
        <v>82</v>
      </c>
    </row>
    <row r="68" spans="1:4" x14ac:dyDescent="0.7">
      <c r="A68" s="38" t="s">
        <v>99</v>
      </c>
      <c r="B68" s="45">
        <v>4.3460308770074153E-2</v>
      </c>
      <c r="C68" s="49">
        <v>0</v>
      </c>
      <c r="D68" s="39" t="s">
        <v>82</v>
      </c>
    </row>
    <row r="69" spans="1:4" x14ac:dyDescent="0.7">
      <c r="A69" s="38" t="s">
        <v>100</v>
      </c>
      <c r="B69" s="45">
        <v>4.3134849817253879E-2</v>
      </c>
      <c r="C69" s="49">
        <v>0</v>
      </c>
      <c r="D69" s="39" t="s">
        <v>82</v>
      </c>
    </row>
    <row r="70" spans="1:4" x14ac:dyDescent="0.7">
      <c r="A70" s="38" t="s">
        <v>101</v>
      </c>
      <c r="B70" s="45">
        <v>3.9796233390287067E-2</v>
      </c>
      <c r="C70" s="49">
        <v>0</v>
      </c>
      <c r="D70" s="39" t="s">
        <v>82</v>
      </c>
    </row>
    <row r="71" spans="1:4" x14ac:dyDescent="0.7">
      <c r="A71" s="38" t="s">
        <v>102</v>
      </c>
      <c r="B71" s="45">
        <v>3.7367460465675302E-2</v>
      </c>
      <c r="C71" s="49">
        <v>0</v>
      </c>
      <c r="D71" s="39" t="s">
        <v>82</v>
      </c>
    </row>
    <row r="72" spans="1:4" x14ac:dyDescent="0.7">
      <c r="A72" s="38" t="s">
        <v>103</v>
      </c>
      <c r="B72" s="45">
        <v>3.1826857693089829E-2</v>
      </c>
      <c r="C72" s="49">
        <v>0</v>
      </c>
      <c r="D72" s="39" t="s">
        <v>82</v>
      </c>
    </row>
    <row r="73" spans="1:4" x14ac:dyDescent="0.7">
      <c r="A73" s="38" t="s">
        <v>104</v>
      </c>
      <c r="B73" s="45">
        <v>3.0349209484936159E-2</v>
      </c>
      <c r="C73" s="49">
        <v>0</v>
      </c>
      <c r="D73" s="39" t="s">
        <v>82</v>
      </c>
    </row>
    <row r="74" spans="1:4" x14ac:dyDescent="0.7">
      <c r="A74" s="38" t="s">
        <v>105</v>
      </c>
      <c r="B74" s="45">
        <v>2.8989088057384291E-2</v>
      </c>
      <c r="C74" s="49">
        <v>0</v>
      </c>
      <c r="D74" s="39" t="s">
        <v>82</v>
      </c>
    </row>
    <row r="75" spans="1:4" x14ac:dyDescent="0.7">
      <c r="A75" s="38" t="s">
        <v>106</v>
      </c>
      <c r="B75" s="45">
        <v>2.6876204357990381E-2</v>
      </c>
      <c r="C75" s="49">
        <v>0</v>
      </c>
      <c r="D75" s="39" t="s">
        <v>82</v>
      </c>
    </row>
    <row r="76" spans="1:4" x14ac:dyDescent="0.7">
      <c r="A76" s="38" t="s">
        <v>107</v>
      </c>
      <c r="B76" s="45">
        <v>2.675667348937984E-2</v>
      </c>
      <c r="C76" s="49">
        <v>0</v>
      </c>
      <c r="D76" s="39" t="s">
        <v>82</v>
      </c>
    </row>
    <row r="77" spans="1:4" x14ac:dyDescent="0.7">
      <c r="A77" s="38" t="s">
        <v>108</v>
      </c>
      <c r="B77" s="45">
        <v>2.619099679201756E-2</v>
      </c>
      <c r="C77" s="49">
        <v>0</v>
      </c>
      <c r="D77" s="39" t="s">
        <v>82</v>
      </c>
    </row>
    <row r="78" spans="1:4" x14ac:dyDescent="0.7">
      <c r="A78" s="38" t="s">
        <v>109</v>
      </c>
      <c r="B78" s="45">
        <v>2.6012526477926661E-2</v>
      </c>
      <c r="C78" s="49">
        <v>0</v>
      </c>
      <c r="D78" s="39" t="s">
        <v>82</v>
      </c>
    </row>
    <row r="79" spans="1:4" x14ac:dyDescent="0.7">
      <c r="A79" s="38" t="s">
        <v>110</v>
      </c>
      <c r="B79" s="45">
        <v>2.5141482598959E-2</v>
      </c>
      <c r="C79" s="49">
        <v>0</v>
      </c>
      <c r="D79" s="39" t="s">
        <v>82</v>
      </c>
    </row>
    <row r="80" spans="1:4" x14ac:dyDescent="0.7">
      <c r="A80" s="38" t="s">
        <v>111</v>
      </c>
      <c r="B80" s="45">
        <v>2.4084471202932969E-2</v>
      </c>
      <c r="C80" s="49">
        <v>0</v>
      </c>
      <c r="D80" s="39" t="s">
        <v>82</v>
      </c>
    </row>
    <row r="81" spans="1:4" x14ac:dyDescent="0.7">
      <c r="A81" s="38" t="s">
        <v>112</v>
      </c>
      <c r="B81" s="45">
        <v>2.338657478202763E-2</v>
      </c>
      <c r="C81" s="49">
        <v>0</v>
      </c>
      <c r="D81" s="39" t="s">
        <v>82</v>
      </c>
    </row>
    <row r="82" spans="1:4" x14ac:dyDescent="0.7">
      <c r="A82" s="38" t="s">
        <v>113</v>
      </c>
      <c r="B82" s="45">
        <v>1.982288566719281E-2</v>
      </c>
      <c r="C82" s="49">
        <v>0</v>
      </c>
      <c r="D82" s="39" t="s">
        <v>82</v>
      </c>
    </row>
    <row r="83" spans="1:4" x14ac:dyDescent="0.7">
      <c r="A83" s="38" t="s">
        <v>114</v>
      </c>
      <c r="B83" s="45">
        <v>1.9383050653930551E-2</v>
      </c>
      <c r="C83" s="49">
        <v>0</v>
      </c>
      <c r="D83" s="39" t="s">
        <v>82</v>
      </c>
    </row>
    <row r="84" spans="1:4" x14ac:dyDescent="0.7">
      <c r="A84" s="38" t="s">
        <v>115</v>
      </c>
      <c r="B84" s="45">
        <v>1.753274730412278E-2</v>
      </c>
      <c r="C84" s="49">
        <v>0</v>
      </c>
      <c r="D84" s="39" t="s">
        <v>82</v>
      </c>
    </row>
    <row r="85" spans="1:4" x14ac:dyDescent="0.7">
      <c r="A85" s="38" t="s">
        <v>116</v>
      </c>
      <c r="B85" s="45">
        <v>1.6914784541753849E-2</v>
      </c>
      <c r="C85" s="49">
        <v>0</v>
      </c>
      <c r="D85" s="39" t="s">
        <v>82</v>
      </c>
    </row>
    <row r="86" spans="1:4" x14ac:dyDescent="0.7">
      <c r="A86" s="38" t="s">
        <v>117</v>
      </c>
      <c r="B86" s="45">
        <v>1.6809199134990752E-2</v>
      </c>
      <c r="C86" s="49">
        <v>0</v>
      </c>
      <c r="D86" s="39" t="s">
        <v>82</v>
      </c>
    </row>
    <row r="87" spans="1:4" x14ac:dyDescent="0.7">
      <c r="A87" s="38" t="s">
        <v>118</v>
      </c>
      <c r="B87" s="45">
        <v>1.6020203276016609E-2</v>
      </c>
      <c r="C87" s="49">
        <v>0</v>
      </c>
      <c r="D87" s="39" t="s">
        <v>82</v>
      </c>
    </row>
    <row r="88" spans="1:4" x14ac:dyDescent="0.7">
      <c r="A88" s="38" t="s">
        <v>119</v>
      </c>
      <c r="B88" s="45">
        <v>1.6008850530447989E-2</v>
      </c>
      <c r="C88" s="49">
        <v>0</v>
      </c>
      <c r="D88" s="39" t="s">
        <v>82</v>
      </c>
    </row>
    <row r="89" spans="1:4" x14ac:dyDescent="0.7">
      <c r="A89" s="38" t="s">
        <v>120</v>
      </c>
      <c r="B89" s="45">
        <v>1.5579127417927359E-2</v>
      </c>
      <c r="C89" s="49">
        <v>0</v>
      </c>
      <c r="D89" s="39" t="s">
        <v>82</v>
      </c>
    </row>
    <row r="90" spans="1:4" x14ac:dyDescent="0.7">
      <c r="A90" s="38" t="s">
        <v>121</v>
      </c>
      <c r="B90" s="45">
        <v>1.4272508887022429E-2</v>
      </c>
      <c r="C90" s="49">
        <v>0</v>
      </c>
      <c r="D90" s="39" t="s">
        <v>82</v>
      </c>
    </row>
    <row r="91" spans="1:4" x14ac:dyDescent="0.7">
      <c r="A91" s="38" t="s">
        <v>122</v>
      </c>
      <c r="B91" s="45">
        <v>1.185750614929082E-2</v>
      </c>
      <c r="C91" s="49">
        <v>0</v>
      </c>
      <c r="D91" s="39" t="s">
        <v>82</v>
      </c>
    </row>
    <row r="92" spans="1:4" x14ac:dyDescent="0.7">
      <c r="A92" s="38" t="s">
        <v>123</v>
      </c>
      <c r="B92" s="45">
        <v>1.1148937580307491E-2</v>
      </c>
      <c r="C92" s="49">
        <v>0</v>
      </c>
      <c r="D92" s="39" t="s">
        <v>82</v>
      </c>
    </row>
    <row r="93" spans="1:4" x14ac:dyDescent="0.7">
      <c r="A93" s="38" t="s">
        <v>124</v>
      </c>
      <c r="B93" s="45">
        <v>9.181525052996662E-3</v>
      </c>
      <c r="C93" s="49">
        <v>0</v>
      </c>
      <c r="D93" s="39" t="s">
        <v>82</v>
      </c>
    </row>
    <row r="94" spans="1:4" x14ac:dyDescent="0.7">
      <c r="A94" s="38" t="s">
        <v>125</v>
      </c>
      <c r="B94" s="45">
        <v>9.1399458935579082E-3</v>
      </c>
      <c r="C94" s="49">
        <v>0</v>
      </c>
      <c r="D94" s="39" t="s">
        <v>82</v>
      </c>
    </row>
    <row r="95" spans="1:4" x14ac:dyDescent="0.7">
      <c r="A95" s="38" t="s">
        <v>126</v>
      </c>
      <c r="B95" s="45">
        <v>6.3223619224223263E-3</v>
      </c>
      <c r="C95" s="49">
        <v>0</v>
      </c>
      <c r="D95" s="39" t="s">
        <v>82</v>
      </c>
    </row>
    <row r="96" spans="1:4" x14ac:dyDescent="0.7">
      <c r="A96" s="38" t="s">
        <v>127</v>
      </c>
      <c r="B96" s="45">
        <v>4.8741010769712944E-3</v>
      </c>
      <c r="C96" s="49">
        <v>0</v>
      </c>
      <c r="D96" s="39" t="s">
        <v>82</v>
      </c>
    </row>
    <row r="97" spans="1:4" x14ac:dyDescent="0.7">
      <c r="A97" s="38" t="s">
        <v>128</v>
      </c>
      <c r="B97" s="45">
        <v>4.0302375158062483E-3</v>
      </c>
      <c r="C97" s="49">
        <v>0</v>
      </c>
      <c r="D97" s="39" t="s">
        <v>82</v>
      </c>
    </row>
    <row r="98" spans="1:4" x14ac:dyDescent="0.7">
      <c r="A98" s="38" t="s">
        <v>129</v>
      </c>
      <c r="B98" s="45">
        <v>2.5430255543407981E-3</v>
      </c>
      <c r="C98" s="49">
        <v>0</v>
      </c>
      <c r="D98" s="39" t="s">
        <v>82</v>
      </c>
    </row>
    <row r="99" spans="1:4" x14ac:dyDescent="0.7">
      <c r="A99" s="38" t="s">
        <v>130</v>
      </c>
      <c r="B99" s="45">
        <v>1.733448061920098E-3</v>
      </c>
      <c r="C99" s="49">
        <v>0</v>
      </c>
      <c r="D99" s="39" t="s">
        <v>82</v>
      </c>
    </row>
    <row r="100" spans="1:4" x14ac:dyDescent="0.7">
      <c r="A100" s="38" t="s">
        <v>131</v>
      </c>
      <c r="B100" s="45">
        <v>8.3486492787743493E-5</v>
      </c>
      <c r="C100" s="49">
        <v>0</v>
      </c>
      <c r="D100" s="39" t="s">
        <v>82</v>
      </c>
    </row>
    <row r="101" spans="1:4" x14ac:dyDescent="0.7">
      <c r="A101" s="38" t="s">
        <v>132</v>
      </c>
      <c r="B101" s="45">
        <v>9.1065186979588425E-6</v>
      </c>
      <c r="C101" s="49">
        <v>0</v>
      </c>
      <c r="D101" s="39" t="s">
        <v>82</v>
      </c>
    </row>
    <row r="102" spans="1:4" x14ac:dyDescent="0.7">
      <c r="A102" s="38" t="s">
        <v>133</v>
      </c>
      <c r="B102" s="45">
        <v>0</v>
      </c>
      <c r="C102" s="49">
        <v>0</v>
      </c>
      <c r="D102" s="39" t="s">
        <v>82</v>
      </c>
    </row>
    <row r="103" spans="1:4" x14ac:dyDescent="0.7">
      <c r="A103" s="38" t="s">
        <v>134</v>
      </c>
      <c r="B103" s="45">
        <v>0</v>
      </c>
      <c r="C103" s="49">
        <v>0</v>
      </c>
      <c r="D103" s="39" t="s">
        <v>82</v>
      </c>
    </row>
    <row r="104" spans="1:4" x14ac:dyDescent="0.7">
      <c r="A104" s="38" t="s">
        <v>135</v>
      </c>
      <c r="B104" s="45">
        <v>0</v>
      </c>
      <c r="C104" s="49">
        <v>0</v>
      </c>
      <c r="D104" s="39" t="s">
        <v>82</v>
      </c>
    </row>
    <row r="105" spans="1:4" x14ac:dyDescent="0.7">
      <c r="A105" s="38" t="s">
        <v>136</v>
      </c>
      <c r="B105" s="45">
        <v>0</v>
      </c>
      <c r="C105" s="49">
        <v>0</v>
      </c>
      <c r="D105" s="39" t="s">
        <v>82</v>
      </c>
    </row>
    <row r="106" spans="1:4" x14ac:dyDescent="0.7">
      <c r="A106" s="38" t="s">
        <v>137</v>
      </c>
      <c r="B106" s="45">
        <v>0</v>
      </c>
      <c r="C106" s="49">
        <v>0</v>
      </c>
      <c r="D106" s="39" t="s">
        <v>82</v>
      </c>
    </row>
    <row r="107" spans="1:4" x14ac:dyDescent="0.7">
      <c r="A107" s="38" t="s">
        <v>138</v>
      </c>
      <c r="B107" s="45">
        <v>0</v>
      </c>
      <c r="C107" s="49">
        <v>0</v>
      </c>
      <c r="D107" s="39" t="s">
        <v>82</v>
      </c>
    </row>
    <row r="108" spans="1:4" x14ac:dyDescent="0.7">
      <c r="A108" s="38" t="s">
        <v>139</v>
      </c>
      <c r="B108" s="45">
        <v>0</v>
      </c>
      <c r="C108" s="49">
        <v>0</v>
      </c>
      <c r="D108" s="39" t="s">
        <v>82</v>
      </c>
    </row>
    <row r="109" spans="1:4" x14ac:dyDescent="0.7">
      <c r="A109" s="38" t="s">
        <v>140</v>
      </c>
      <c r="B109" s="45">
        <v>0</v>
      </c>
      <c r="C109" s="49">
        <v>0</v>
      </c>
      <c r="D109" s="39" t="s">
        <v>82</v>
      </c>
    </row>
    <row r="110" spans="1:4" x14ac:dyDescent="0.7">
      <c r="A110" s="38" t="s">
        <v>141</v>
      </c>
      <c r="B110" s="45">
        <v>0</v>
      </c>
      <c r="C110" s="49">
        <v>0</v>
      </c>
      <c r="D110" s="39" t="s">
        <v>82</v>
      </c>
    </row>
    <row r="111" spans="1:4" x14ac:dyDescent="0.7">
      <c r="A111" s="38" t="s">
        <v>142</v>
      </c>
      <c r="B111" s="45">
        <v>0</v>
      </c>
      <c r="C111" s="49">
        <v>0</v>
      </c>
      <c r="D111" s="39" t="s">
        <v>82</v>
      </c>
    </row>
    <row r="112" spans="1:4" x14ac:dyDescent="0.7">
      <c r="A112" s="38" t="s">
        <v>143</v>
      </c>
      <c r="B112" s="45">
        <v>0</v>
      </c>
      <c r="C112" s="49">
        <v>0</v>
      </c>
      <c r="D112" s="39" t="s">
        <v>82</v>
      </c>
    </row>
    <row r="113" spans="1:4" x14ac:dyDescent="0.7">
      <c r="A113" s="38" t="s">
        <v>144</v>
      </c>
      <c r="B113" s="45">
        <v>0</v>
      </c>
      <c r="C113" s="49">
        <v>0</v>
      </c>
      <c r="D113" s="39" t="s">
        <v>82</v>
      </c>
    </row>
    <row r="114" spans="1:4" x14ac:dyDescent="0.7">
      <c r="A114" s="38" t="s">
        <v>145</v>
      </c>
      <c r="B114" s="45">
        <v>0</v>
      </c>
      <c r="C114" s="49">
        <v>0</v>
      </c>
      <c r="D114" s="39" t="s">
        <v>82</v>
      </c>
    </row>
    <row r="115" spans="1:4" x14ac:dyDescent="0.7">
      <c r="A115" s="38" t="s">
        <v>146</v>
      </c>
      <c r="B115" s="45">
        <v>0</v>
      </c>
      <c r="C115" s="49">
        <v>0</v>
      </c>
      <c r="D115" s="39" t="s">
        <v>82</v>
      </c>
    </row>
    <row r="116" spans="1:4" x14ac:dyDescent="0.7">
      <c r="A116" s="38" t="s">
        <v>147</v>
      </c>
      <c r="B116" s="45">
        <v>0</v>
      </c>
      <c r="C116" s="49">
        <v>0</v>
      </c>
      <c r="D116" s="39" t="s">
        <v>82</v>
      </c>
    </row>
    <row r="117" spans="1:4" x14ac:dyDescent="0.7">
      <c r="A117" s="38" t="s">
        <v>148</v>
      </c>
      <c r="B117" s="45">
        <v>0</v>
      </c>
      <c r="C117" s="49">
        <v>0</v>
      </c>
      <c r="D117" s="39" t="s">
        <v>82</v>
      </c>
    </row>
    <row r="118" spans="1:4" x14ac:dyDescent="0.7">
      <c r="A118" s="38" t="s">
        <v>149</v>
      </c>
      <c r="B118" s="45">
        <v>0</v>
      </c>
      <c r="C118" s="49">
        <v>0</v>
      </c>
      <c r="D118" s="39" t="s">
        <v>82</v>
      </c>
    </row>
    <row r="119" spans="1:4" x14ac:dyDescent="0.7">
      <c r="A119" s="38" t="s">
        <v>150</v>
      </c>
      <c r="B119" s="45">
        <v>0</v>
      </c>
      <c r="C119" s="49">
        <v>0</v>
      </c>
      <c r="D119" s="39" t="s">
        <v>82</v>
      </c>
    </row>
    <row r="120" spans="1:4" x14ac:dyDescent="0.7">
      <c r="A120" s="38" t="s">
        <v>151</v>
      </c>
      <c r="B120" s="45">
        <v>0</v>
      </c>
      <c r="C120" s="49">
        <v>0</v>
      </c>
      <c r="D120" s="39" t="s">
        <v>82</v>
      </c>
    </row>
    <row r="121" spans="1:4" x14ac:dyDescent="0.7">
      <c r="A121" s="38" t="s">
        <v>152</v>
      </c>
      <c r="B121" s="45">
        <v>0</v>
      </c>
      <c r="C121" s="49">
        <v>0</v>
      </c>
      <c r="D121" s="39" t="s">
        <v>82</v>
      </c>
    </row>
    <row r="122" spans="1:4" x14ac:dyDescent="0.7">
      <c r="A122" s="38" t="s">
        <v>153</v>
      </c>
      <c r="B122" s="45">
        <v>0</v>
      </c>
      <c r="C122" s="49">
        <v>0</v>
      </c>
      <c r="D122" s="39" t="s">
        <v>82</v>
      </c>
    </row>
    <row r="123" spans="1:4" x14ac:dyDescent="0.7">
      <c r="A123" s="38" t="s">
        <v>154</v>
      </c>
      <c r="B123" s="45">
        <v>0</v>
      </c>
      <c r="C123" s="49">
        <v>0</v>
      </c>
      <c r="D123" s="39" t="s">
        <v>82</v>
      </c>
    </row>
    <row r="124" spans="1:4" x14ac:dyDescent="0.7">
      <c r="A124" s="38" t="s">
        <v>155</v>
      </c>
      <c r="B124" s="45">
        <v>0</v>
      </c>
      <c r="C124" s="49">
        <v>0</v>
      </c>
      <c r="D124" s="39" t="s">
        <v>82</v>
      </c>
    </row>
    <row r="125" spans="1:4" x14ac:dyDescent="0.7">
      <c r="A125" s="38" t="s">
        <v>156</v>
      </c>
      <c r="B125" s="45">
        <v>0</v>
      </c>
      <c r="C125" s="49">
        <v>0</v>
      </c>
      <c r="D125" s="39" t="s">
        <v>82</v>
      </c>
    </row>
    <row r="126" spans="1:4" x14ac:dyDescent="0.7">
      <c r="A126" s="38" t="s">
        <v>157</v>
      </c>
      <c r="B126" s="45">
        <v>0</v>
      </c>
      <c r="C126" s="49">
        <v>0</v>
      </c>
      <c r="D126" s="39" t="s">
        <v>82</v>
      </c>
    </row>
    <row r="127" spans="1:4" x14ac:dyDescent="0.7">
      <c r="A127" s="38" t="s">
        <v>158</v>
      </c>
      <c r="B127" s="45">
        <v>0</v>
      </c>
      <c r="C127" s="49">
        <v>0</v>
      </c>
      <c r="D127" s="39" t="s">
        <v>82</v>
      </c>
    </row>
    <row r="128" spans="1:4" x14ac:dyDescent="0.7">
      <c r="A128" s="38" t="s">
        <v>159</v>
      </c>
      <c r="B128" s="45">
        <v>0</v>
      </c>
      <c r="C128" s="49">
        <v>0</v>
      </c>
      <c r="D128" s="39" t="s">
        <v>82</v>
      </c>
    </row>
    <row r="129" spans="1:4" x14ac:dyDescent="0.7">
      <c r="A129" s="38" t="s">
        <v>160</v>
      </c>
      <c r="B129" s="45">
        <v>0</v>
      </c>
      <c r="C129" s="49">
        <v>0</v>
      </c>
      <c r="D129" s="39" t="s">
        <v>82</v>
      </c>
    </row>
    <row r="130" spans="1:4" x14ac:dyDescent="0.7">
      <c r="A130" s="38" t="s">
        <v>161</v>
      </c>
      <c r="B130" s="45">
        <v>0</v>
      </c>
      <c r="C130" s="49">
        <v>0</v>
      </c>
      <c r="D130" s="39" t="s">
        <v>82</v>
      </c>
    </row>
    <row r="131" spans="1:4" x14ac:dyDescent="0.7">
      <c r="A131" s="38" t="s">
        <v>162</v>
      </c>
      <c r="B131" s="45">
        <v>0</v>
      </c>
      <c r="C131" s="49">
        <v>0</v>
      </c>
      <c r="D131" s="39" t="s">
        <v>82</v>
      </c>
    </row>
    <row r="132" spans="1:4" x14ac:dyDescent="0.7">
      <c r="A132" s="38" t="s">
        <v>163</v>
      </c>
      <c r="B132" s="45">
        <v>0</v>
      </c>
      <c r="C132" s="49">
        <v>0</v>
      </c>
      <c r="D132" s="39" t="s">
        <v>82</v>
      </c>
    </row>
    <row r="133" spans="1:4" x14ac:dyDescent="0.7">
      <c r="A133" s="38" t="s">
        <v>164</v>
      </c>
      <c r="B133" s="45">
        <v>0</v>
      </c>
      <c r="C133" s="49">
        <v>0</v>
      </c>
      <c r="D133" s="39" t="s">
        <v>82</v>
      </c>
    </row>
    <row r="134" spans="1:4" x14ac:dyDescent="0.7">
      <c r="A134" s="38" t="s">
        <v>165</v>
      </c>
      <c r="B134" s="45">
        <v>0</v>
      </c>
      <c r="C134" s="49">
        <v>0</v>
      </c>
      <c r="D134" s="39" t="s">
        <v>82</v>
      </c>
    </row>
    <row r="135" spans="1:4" x14ac:dyDescent="0.7">
      <c r="A135" s="38" t="s">
        <v>166</v>
      </c>
      <c r="B135" s="45">
        <v>0</v>
      </c>
      <c r="C135" s="49">
        <v>0</v>
      </c>
      <c r="D135" s="39" t="s">
        <v>82</v>
      </c>
    </row>
    <row r="136" spans="1:4" x14ac:dyDescent="0.7">
      <c r="A136" s="38" t="s">
        <v>167</v>
      </c>
      <c r="B136" s="45">
        <v>0</v>
      </c>
      <c r="C136" s="49">
        <v>0</v>
      </c>
      <c r="D136" s="39" t="s">
        <v>82</v>
      </c>
    </row>
    <row r="137" spans="1:4" x14ac:dyDescent="0.7">
      <c r="A137" s="38" t="s">
        <v>168</v>
      </c>
      <c r="B137" s="45">
        <v>0</v>
      </c>
      <c r="C137" s="49">
        <v>0</v>
      </c>
      <c r="D137" s="39" t="s">
        <v>82</v>
      </c>
    </row>
    <row r="138" spans="1:4" x14ac:dyDescent="0.7">
      <c r="A138" s="38" t="s">
        <v>169</v>
      </c>
      <c r="B138" s="45">
        <v>0</v>
      </c>
      <c r="C138" s="49">
        <v>0</v>
      </c>
      <c r="D138" s="39" t="s">
        <v>82</v>
      </c>
    </row>
    <row r="139" spans="1:4" x14ac:dyDescent="0.7">
      <c r="A139" s="38" t="s">
        <v>170</v>
      </c>
      <c r="B139" s="45">
        <v>0</v>
      </c>
      <c r="C139" s="49">
        <v>0</v>
      </c>
      <c r="D139" s="39" t="s">
        <v>82</v>
      </c>
    </row>
    <row r="140" spans="1:4" x14ac:dyDescent="0.7">
      <c r="A140" s="38" t="s">
        <v>171</v>
      </c>
      <c r="B140" s="45">
        <v>0</v>
      </c>
      <c r="C140" s="49">
        <v>0</v>
      </c>
      <c r="D140" s="39" t="s">
        <v>82</v>
      </c>
    </row>
    <row r="141" spans="1:4" x14ac:dyDescent="0.7">
      <c r="A141" s="38" t="s">
        <v>172</v>
      </c>
      <c r="B141" s="45">
        <v>0</v>
      </c>
      <c r="C141" s="49">
        <v>0</v>
      </c>
      <c r="D141" s="39" t="s">
        <v>82</v>
      </c>
    </row>
    <row r="142" spans="1:4" x14ac:dyDescent="0.7">
      <c r="A142" s="38" t="s">
        <v>173</v>
      </c>
      <c r="B142" s="45">
        <v>0</v>
      </c>
      <c r="C142" s="49">
        <v>0</v>
      </c>
      <c r="D142" s="39" t="s">
        <v>82</v>
      </c>
    </row>
    <row r="143" spans="1:4" x14ac:dyDescent="0.7">
      <c r="A143" s="38" t="s">
        <v>174</v>
      </c>
      <c r="B143" s="45">
        <v>0</v>
      </c>
      <c r="C143" s="49">
        <v>0</v>
      </c>
      <c r="D143" s="39" t="s">
        <v>82</v>
      </c>
    </row>
    <row r="144" spans="1:4" x14ac:dyDescent="0.7">
      <c r="A144" s="40" t="s">
        <v>175</v>
      </c>
      <c r="B144" s="46">
        <v>0</v>
      </c>
      <c r="C144" s="50">
        <v>0</v>
      </c>
      <c r="D144" s="41" t="s">
        <v>82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 Tier Results</vt:lpstr>
      <vt:lpstr>Feature Importance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suneshpraveenrajas</dc:creator>
  <cp:lastModifiedBy>Uggirala  Rudhvi</cp:lastModifiedBy>
  <dcterms:created xsi:type="dcterms:W3CDTF">2022-02-22T15:29:41Z</dcterms:created>
  <dcterms:modified xsi:type="dcterms:W3CDTF">2026-01-07T21:56:45Z</dcterms:modified>
</cp:coreProperties>
</file>